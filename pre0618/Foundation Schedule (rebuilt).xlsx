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 Cleaned" sheetId="1" state="visible" r:id="rId1"/>
    <sheet xmlns:r="http://schemas.openxmlformats.org/officeDocument/2006/relationships" name="As Received" sheetId="2" state="visible" r:id="rId2"/>
    <sheet xmlns:r="http://schemas.openxmlformats.org/officeDocument/2006/relationships" name="GHA Assignment" sheetId="3" state="visible" r:id="rId3"/>
    <sheet xmlns:r="http://schemas.openxmlformats.org/officeDocument/2006/relationships" name="Counter Ti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hh:mm"/>
  </numFmts>
  <fonts count="4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  <font>
      <name val="Cambria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8" customWidth="1" min="4" max="4"/>
    <col width="7" customWidth="1" min="5" max="5"/>
    <col width="13" customWidth="1" min="6" max="6"/>
    <col width="13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3" customWidth="1" min="18" max="18"/>
    <col width="14" customWidth="1" min="19" max="19"/>
  </cols>
  <sheetData>
    <row r="1">
      <c r="A1" s="1" t="inlineStr">
        <is>
          <t>DATE</t>
        </is>
      </c>
      <c r="B1" s="1" t="inlineStr">
        <is>
          <t>Airline code</t>
        </is>
      </c>
      <c r="C1" s="1" t="inlineStr">
        <is>
          <t>Flight Designator</t>
        </is>
      </c>
      <c r="D1" s="1" t="inlineStr">
        <is>
          <t>SOBT</t>
        </is>
      </c>
      <c r="E1" s="1" t="inlineStr">
        <is>
          <t>Hour</t>
        </is>
      </c>
      <c r="F1" s="1" t="inlineStr">
        <is>
          <t>Routing</t>
        </is>
      </c>
      <c r="G1" s="1" t="inlineStr">
        <is>
          <t>Traffic Type</t>
        </is>
      </c>
      <c r="H1" s="1" t="inlineStr">
        <is>
          <t>Public Terminal</t>
        </is>
      </c>
      <c r="I1" s="1" t="inlineStr">
        <is>
          <t>GHA</t>
        </is>
      </c>
      <c r="J1" s="1" t="inlineStr">
        <is>
          <t>Seats</t>
        </is>
      </c>
      <c r="K1" s="1" t="inlineStr">
        <is>
          <t>Pax</t>
        </is>
      </c>
      <c r="L1" s="1" t="inlineStr">
        <is>
          <t>D-4 Pax</t>
        </is>
      </c>
      <c r="M1" s="1" t="inlineStr">
        <is>
          <t>D-3 Pax</t>
        </is>
      </c>
      <c r="N1" s="1" t="inlineStr">
        <is>
          <t>D-2 Pax</t>
        </is>
      </c>
      <c r="O1" s="1" t="inlineStr">
        <is>
          <t>D-4</t>
        </is>
      </c>
      <c r="P1" s="1" t="inlineStr">
        <is>
          <t>D-3</t>
        </is>
      </c>
      <c r="Q1" s="1" t="inlineStr">
        <is>
          <t>D-2</t>
        </is>
      </c>
      <c r="R1" s="1" t="inlineStr">
        <is>
          <t>Σ split = Pax?</t>
        </is>
      </c>
      <c r="S1" s="1" t="inlineStr">
        <is>
          <t>Pax = 80%·Seats?</t>
        </is>
      </c>
    </row>
    <row r="2">
      <c r="A2" s="2">
        <f>'As Received'!A2</f>
        <v/>
      </c>
      <c r="B2" s="2">
        <f>'As Received'!B2</f>
        <v/>
      </c>
      <c r="C2" s="2">
        <f>'As Received'!C2</f>
        <v/>
      </c>
      <c r="D2" s="3">
        <f>'As Received'!D2</f>
        <v/>
      </c>
      <c r="E2" s="2">
        <f>'As Received'!E2</f>
        <v/>
      </c>
      <c r="F2" s="2">
        <f>'As Received'!F2</f>
        <v/>
      </c>
      <c r="G2" s="2">
        <f>'As Received'!G2</f>
        <v/>
      </c>
      <c r="H2" s="2">
        <f>'As Received'!H2</f>
        <v/>
      </c>
      <c r="I2" s="2">
        <f>'As Received'!I2</f>
        <v/>
      </c>
      <c r="J2" s="2">
        <f>'As Received'!J2</f>
        <v/>
      </c>
      <c r="K2" s="2">
        <f>'As Received'!K2</f>
        <v/>
      </c>
      <c r="L2" s="2">
        <f>'As Received'!L2</f>
        <v/>
      </c>
      <c r="M2" s="2">
        <f>'As Received'!M2</f>
        <v/>
      </c>
      <c r="N2" s="2">
        <f>'As Received'!N2</f>
        <v/>
      </c>
      <c r="O2" s="3">
        <f>'As Received'!O2</f>
        <v/>
      </c>
      <c r="P2" s="3">
        <f>'As Received'!P2</f>
        <v/>
      </c>
      <c r="Q2" s="3">
        <f>'As Received'!Q2</f>
        <v/>
      </c>
      <c r="R2" s="2">
        <f>IF(K2="","",K2-(L2+M2+N2))</f>
        <v/>
      </c>
      <c r="S2" s="2">
        <f>IF(J2="","",K2-ROUND(0.8*J2,0))</f>
        <v/>
      </c>
    </row>
    <row r="3">
      <c r="A3" s="2">
        <f>'As Received'!A3</f>
        <v/>
      </c>
      <c r="B3" s="2">
        <f>'As Received'!B3</f>
        <v/>
      </c>
      <c r="C3" s="2">
        <f>'As Received'!C3</f>
        <v/>
      </c>
      <c r="D3" s="3">
        <f>'As Received'!D3</f>
        <v/>
      </c>
      <c r="E3" s="2">
        <f>'As Received'!E3</f>
        <v/>
      </c>
      <c r="F3" s="2">
        <f>'As Received'!F3</f>
        <v/>
      </c>
      <c r="G3" s="2">
        <f>'As Received'!G3</f>
        <v/>
      </c>
      <c r="H3" s="2">
        <f>'As Received'!H3</f>
        <v/>
      </c>
      <c r="I3" s="2">
        <f>'As Received'!I3</f>
        <v/>
      </c>
      <c r="J3" s="2">
        <f>'As Received'!J3</f>
        <v/>
      </c>
      <c r="K3" s="2">
        <f>'As Received'!K3</f>
        <v/>
      </c>
      <c r="L3" s="2">
        <f>'As Received'!L3</f>
        <v/>
      </c>
      <c r="M3" s="2">
        <f>'As Received'!M3</f>
        <v/>
      </c>
      <c r="N3" s="2">
        <f>'As Received'!N3</f>
        <v/>
      </c>
      <c r="O3" s="3">
        <f>'As Received'!O3</f>
        <v/>
      </c>
      <c r="P3" s="3">
        <f>'As Received'!P3</f>
        <v/>
      </c>
      <c r="Q3" s="3">
        <f>'As Received'!Q3</f>
        <v/>
      </c>
      <c r="R3" s="2">
        <f>IF(K3="","",K3-(L3+M3+N3))</f>
        <v/>
      </c>
      <c r="S3" s="2">
        <f>IF(J3="","",K3-ROUND(0.8*J3,0))</f>
        <v/>
      </c>
    </row>
    <row r="4">
      <c r="A4" s="2">
        <f>'As Received'!A4</f>
        <v/>
      </c>
      <c r="B4" s="2">
        <f>'As Received'!B4</f>
        <v/>
      </c>
      <c r="C4" s="2">
        <f>'As Received'!C4</f>
        <v/>
      </c>
      <c r="D4" s="3">
        <f>'As Received'!D4</f>
        <v/>
      </c>
      <c r="E4" s="2">
        <f>'As Received'!E4</f>
        <v/>
      </c>
      <c r="F4" s="2">
        <f>'As Received'!F4</f>
        <v/>
      </c>
      <c r="G4" s="2">
        <f>'As Received'!G4</f>
        <v/>
      </c>
      <c r="H4" s="2">
        <f>'As Received'!H4</f>
        <v/>
      </c>
      <c r="I4" s="2">
        <f>'As Received'!I4</f>
        <v/>
      </c>
      <c r="J4" s="2">
        <f>'As Received'!J4</f>
        <v/>
      </c>
      <c r="K4" s="2">
        <f>'As Received'!K4</f>
        <v/>
      </c>
      <c r="L4" s="2">
        <f>'As Received'!L4</f>
        <v/>
      </c>
      <c r="M4" s="2">
        <f>'As Received'!M4</f>
        <v/>
      </c>
      <c r="N4" s="2">
        <f>'As Received'!N4</f>
        <v/>
      </c>
      <c r="O4" s="3">
        <f>'As Received'!O4</f>
        <v/>
      </c>
      <c r="P4" s="3">
        <f>'As Received'!P4</f>
        <v/>
      </c>
      <c r="Q4" s="3">
        <f>'As Received'!Q4</f>
        <v/>
      </c>
      <c r="R4" s="2">
        <f>IF(K4="","",K4-(L4+M4+N4))</f>
        <v/>
      </c>
      <c r="S4" s="2">
        <f>IF(J4="","",K4-ROUND(0.8*J4,0))</f>
        <v/>
      </c>
    </row>
    <row r="5">
      <c r="A5" s="2">
        <f>'As Received'!A5</f>
        <v/>
      </c>
      <c r="B5" s="2">
        <f>'As Received'!B5</f>
        <v/>
      </c>
      <c r="C5" s="2">
        <f>'As Received'!C5</f>
        <v/>
      </c>
      <c r="D5" s="3">
        <f>'As Received'!D5</f>
        <v/>
      </c>
      <c r="E5" s="2">
        <f>'As Received'!E5</f>
        <v/>
      </c>
      <c r="F5" s="2">
        <f>'As Received'!F5</f>
        <v/>
      </c>
      <c r="G5" s="2">
        <f>'As Received'!G5</f>
        <v/>
      </c>
      <c r="H5" s="2">
        <f>'As Received'!H5</f>
        <v/>
      </c>
      <c r="I5" s="2">
        <f>'As Received'!I5</f>
        <v/>
      </c>
      <c r="J5" s="2">
        <f>'As Received'!J5</f>
        <v/>
      </c>
      <c r="K5" s="2">
        <f>'As Received'!K5</f>
        <v/>
      </c>
      <c r="L5" s="2">
        <f>'As Received'!L5</f>
        <v/>
      </c>
      <c r="M5" s="2">
        <f>'As Received'!M5</f>
        <v/>
      </c>
      <c r="N5" s="2">
        <f>'As Received'!N5</f>
        <v/>
      </c>
      <c r="O5" s="3">
        <f>'As Received'!O5</f>
        <v/>
      </c>
      <c r="P5" s="3">
        <f>'As Received'!P5</f>
        <v/>
      </c>
      <c r="Q5" s="3">
        <f>'As Received'!Q5</f>
        <v/>
      </c>
      <c r="R5" s="2">
        <f>IF(K5="","",K5-(L5+M5+N5))</f>
        <v/>
      </c>
      <c r="S5" s="2">
        <f>IF(J5="","",K5-ROUND(0.8*J5,0))</f>
        <v/>
      </c>
    </row>
    <row r="6">
      <c r="A6" s="2">
        <f>'As Received'!A6</f>
        <v/>
      </c>
      <c r="B6" s="2">
        <f>'As Received'!B6</f>
        <v/>
      </c>
      <c r="C6" s="2">
        <f>'As Received'!C6</f>
        <v/>
      </c>
      <c r="D6" s="3">
        <f>'As Received'!D6</f>
        <v/>
      </c>
      <c r="E6" s="2">
        <f>'As Received'!E6</f>
        <v/>
      </c>
      <c r="F6" s="2">
        <f>'As Received'!F6</f>
        <v/>
      </c>
      <c r="G6" s="2">
        <f>'As Received'!G6</f>
        <v/>
      </c>
      <c r="H6" s="2">
        <f>'As Received'!H6</f>
        <v/>
      </c>
      <c r="I6" s="2">
        <f>'As Received'!I6</f>
        <v/>
      </c>
      <c r="J6" s="2">
        <f>'As Received'!J6</f>
        <v/>
      </c>
      <c r="K6" s="2">
        <f>'As Received'!K6</f>
        <v/>
      </c>
      <c r="L6" s="2">
        <f>'As Received'!L6</f>
        <v/>
      </c>
      <c r="M6" s="2">
        <f>'As Received'!M6</f>
        <v/>
      </c>
      <c r="N6" s="2">
        <f>'As Received'!N6</f>
        <v/>
      </c>
      <c r="O6" s="3">
        <f>'As Received'!O6</f>
        <v/>
      </c>
      <c r="P6" s="3">
        <f>'As Received'!P6</f>
        <v/>
      </c>
      <c r="Q6" s="3">
        <f>'As Received'!Q6</f>
        <v/>
      </c>
      <c r="R6" s="2">
        <f>IF(K6="","",K6-(L6+M6+N6))</f>
        <v/>
      </c>
      <c r="S6" s="2">
        <f>IF(J6="","",K6-ROUND(0.8*J6,0))</f>
        <v/>
      </c>
    </row>
    <row r="7">
      <c r="A7" s="2">
        <f>'As Received'!A7</f>
        <v/>
      </c>
      <c r="B7" s="2">
        <f>'As Received'!B7</f>
        <v/>
      </c>
      <c r="C7" s="2">
        <f>'As Received'!C7</f>
        <v/>
      </c>
      <c r="D7" s="3">
        <f>'As Received'!D7</f>
        <v/>
      </c>
      <c r="E7" s="2">
        <f>'As Received'!E7</f>
        <v/>
      </c>
      <c r="F7" s="2">
        <f>'As Received'!F7</f>
        <v/>
      </c>
      <c r="G7" s="2">
        <f>'As Received'!G7</f>
        <v/>
      </c>
      <c r="H7" s="2">
        <f>'As Received'!H7</f>
        <v/>
      </c>
      <c r="I7" s="2">
        <f>'As Received'!I7</f>
        <v/>
      </c>
      <c r="J7" s="2">
        <f>'As Received'!J7</f>
        <v/>
      </c>
      <c r="K7" s="2">
        <f>'As Received'!K7</f>
        <v/>
      </c>
      <c r="L7" s="2">
        <f>'As Received'!L7</f>
        <v/>
      </c>
      <c r="M7" s="2">
        <f>'As Received'!M7</f>
        <v/>
      </c>
      <c r="N7" s="2">
        <f>'As Received'!N7</f>
        <v/>
      </c>
      <c r="O7" s="3">
        <f>'As Received'!O7</f>
        <v/>
      </c>
      <c r="P7" s="3">
        <f>'As Received'!P7</f>
        <v/>
      </c>
      <c r="Q7" s="3">
        <f>'As Received'!Q7</f>
        <v/>
      </c>
      <c r="R7" s="2">
        <f>IF(K7="","",K7-(L7+M7+N7))</f>
        <v/>
      </c>
      <c r="S7" s="2">
        <f>IF(J7="","",K7-ROUND(0.8*J7,0))</f>
        <v/>
      </c>
    </row>
    <row r="8">
      <c r="A8" s="2">
        <f>'As Received'!A8</f>
        <v/>
      </c>
      <c r="B8" s="2">
        <f>'As Received'!B8</f>
        <v/>
      </c>
      <c r="C8" s="2">
        <f>'As Received'!C8</f>
        <v/>
      </c>
      <c r="D8" s="3">
        <f>'As Received'!D8</f>
        <v/>
      </c>
      <c r="E8" s="2">
        <f>'As Received'!E8</f>
        <v/>
      </c>
      <c r="F8" s="2">
        <f>'As Received'!F8</f>
        <v/>
      </c>
      <c r="G8" s="2">
        <f>'As Received'!G8</f>
        <v/>
      </c>
      <c r="H8" s="2">
        <f>'As Received'!H8</f>
        <v/>
      </c>
      <c r="I8" s="2">
        <f>'As Received'!I8</f>
        <v/>
      </c>
      <c r="J8" s="2">
        <f>'As Received'!J8</f>
        <v/>
      </c>
      <c r="K8" s="2">
        <f>'As Received'!K8</f>
        <v/>
      </c>
      <c r="L8" s="2">
        <f>'As Received'!L8</f>
        <v/>
      </c>
      <c r="M8" s="2">
        <f>'As Received'!M8</f>
        <v/>
      </c>
      <c r="N8" s="2">
        <f>'As Received'!N8</f>
        <v/>
      </c>
      <c r="O8" s="3">
        <f>'As Received'!O8</f>
        <v/>
      </c>
      <c r="P8" s="3">
        <f>'As Received'!P8</f>
        <v/>
      </c>
      <c r="Q8" s="3">
        <f>'As Received'!Q8</f>
        <v/>
      </c>
      <c r="R8" s="2">
        <f>IF(K8="","",K8-(L8+M8+N8))</f>
        <v/>
      </c>
      <c r="S8" s="2">
        <f>IF(J8="","",K8-ROUND(0.8*J8,0))</f>
        <v/>
      </c>
    </row>
    <row r="9">
      <c r="A9" s="2">
        <f>'As Received'!A9</f>
        <v/>
      </c>
      <c r="B9" s="2">
        <f>'As Received'!B9</f>
        <v/>
      </c>
      <c r="C9" s="2">
        <f>'As Received'!C9</f>
        <v/>
      </c>
      <c r="D9" s="3">
        <f>'As Received'!D9</f>
        <v/>
      </c>
      <c r="E9" s="2">
        <f>'As Received'!E9</f>
        <v/>
      </c>
      <c r="F9" s="2">
        <f>'As Received'!F9</f>
        <v/>
      </c>
      <c r="G9" s="2">
        <f>'As Received'!G9</f>
        <v/>
      </c>
      <c r="H9" s="2">
        <f>'As Received'!H9</f>
        <v/>
      </c>
      <c r="I9" s="2">
        <f>'As Received'!I9</f>
        <v/>
      </c>
      <c r="J9" s="2">
        <f>'As Received'!J9</f>
        <v/>
      </c>
      <c r="K9" s="2">
        <f>'As Received'!K9</f>
        <v/>
      </c>
      <c r="L9" s="2">
        <f>'As Received'!L9</f>
        <v/>
      </c>
      <c r="M9" s="2">
        <f>'As Received'!M9</f>
        <v/>
      </c>
      <c r="N9" s="2">
        <f>'As Received'!N9</f>
        <v/>
      </c>
      <c r="O9" s="3">
        <f>'As Received'!O9</f>
        <v/>
      </c>
      <c r="P9" s="3">
        <f>'As Received'!P9</f>
        <v/>
      </c>
      <c r="Q9" s="3">
        <f>'As Received'!Q9</f>
        <v/>
      </c>
      <c r="R9" s="2">
        <f>IF(K9="","",K9-(L9+M9+N9))</f>
        <v/>
      </c>
      <c r="S9" s="2">
        <f>IF(J9="","",K9-ROUND(0.8*J9,0))</f>
        <v/>
      </c>
    </row>
    <row r="10">
      <c r="A10" s="2">
        <f>'As Received'!A10</f>
        <v/>
      </c>
      <c r="B10" s="2">
        <f>'As Received'!B10</f>
        <v/>
      </c>
      <c r="C10" s="2">
        <f>'As Received'!C10</f>
        <v/>
      </c>
      <c r="D10" s="3">
        <f>'As Received'!D10</f>
        <v/>
      </c>
      <c r="E10" s="2">
        <f>'As Received'!E10</f>
        <v/>
      </c>
      <c r="F10" s="2">
        <f>'As Received'!F10</f>
        <v/>
      </c>
      <c r="G10" s="2">
        <f>'As Received'!G10</f>
        <v/>
      </c>
      <c r="H10" s="2">
        <f>'As Received'!H10</f>
        <v/>
      </c>
      <c r="I10" s="2">
        <f>'As Received'!I10</f>
        <v/>
      </c>
      <c r="J10" s="2">
        <f>'As Received'!J10</f>
        <v/>
      </c>
      <c r="K10" s="2">
        <f>'As Received'!K10</f>
        <v/>
      </c>
      <c r="L10" s="2">
        <f>'As Received'!L10</f>
        <v/>
      </c>
      <c r="M10" s="2">
        <f>'As Received'!M10</f>
        <v/>
      </c>
      <c r="N10" s="2">
        <f>'As Received'!N10</f>
        <v/>
      </c>
      <c r="O10" s="3">
        <f>'As Received'!O10</f>
        <v/>
      </c>
      <c r="P10" s="3">
        <f>'As Received'!P10</f>
        <v/>
      </c>
      <c r="Q10" s="3">
        <f>'As Received'!Q10</f>
        <v/>
      </c>
      <c r="R10" s="2">
        <f>IF(K10="","",K10-(L10+M10+N10))</f>
        <v/>
      </c>
      <c r="S10" s="2">
        <f>IF(J10="","",K10-ROUND(0.8*J10,0))</f>
        <v/>
      </c>
    </row>
    <row r="11">
      <c r="A11" s="2">
        <f>'As Received'!A11</f>
        <v/>
      </c>
      <c r="B11" s="2">
        <f>'As Received'!B11</f>
        <v/>
      </c>
      <c r="C11" s="2">
        <f>'As Received'!C11</f>
        <v/>
      </c>
      <c r="D11" s="3">
        <f>'As Received'!D11</f>
        <v/>
      </c>
      <c r="E11" s="2">
        <f>'As Received'!E11</f>
        <v/>
      </c>
      <c r="F11" s="2">
        <f>'As Received'!F11</f>
        <v/>
      </c>
      <c r="G11" s="2">
        <f>'As Received'!G11</f>
        <v/>
      </c>
      <c r="H11" s="2">
        <f>'As Received'!H11</f>
        <v/>
      </c>
      <c r="I11" s="2">
        <f>'As Received'!I11</f>
        <v/>
      </c>
      <c r="J11" s="2">
        <f>'As Received'!J11</f>
        <v/>
      </c>
      <c r="K11" s="2">
        <f>'As Received'!K11</f>
        <v/>
      </c>
      <c r="L11" s="2">
        <f>'As Received'!L11</f>
        <v/>
      </c>
      <c r="M11" s="2">
        <f>'As Received'!M11</f>
        <v/>
      </c>
      <c r="N11" s="2">
        <f>'As Received'!N11</f>
        <v/>
      </c>
      <c r="O11" s="3">
        <f>'As Received'!O11</f>
        <v/>
      </c>
      <c r="P11" s="3">
        <f>'As Received'!P11</f>
        <v/>
      </c>
      <c r="Q11" s="3">
        <f>'As Received'!Q11</f>
        <v/>
      </c>
      <c r="R11" s="2">
        <f>IF(K11="","",K11-(L11+M11+N11))</f>
        <v/>
      </c>
      <c r="S11" s="2">
        <f>IF(J11="","",K11-ROUND(0.8*J11,0))</f>
        <v/>
      </c>
    </row>
    <row r="12">
      <c r="A12" s="2">
        <f>'As Received'!A12</f>
        <v/>
      </c>
      <c r="B12" s="2">
        <f>'As Received'!B12</f>
        <v/>
      </c>
      <c r="C12" s="2">
        <f>'As Received'!C12</f>
        <v/>
      </c>
      <c r="D12" s="3">
        <f>'As Received'!D12</f>
        <v/>
      </c>
      <c r="E12" s="2">
        <f>'As Received'!E12</f>
        <v/>
      </c>
      <c r="F12" s="2">
        <f>'As Received'!F12</f>
        <v/>
      </c>
      <c r="G12" s="2">
        <f>'As Received'!G12</f>
        <v/>
      </c>
      <c r="H12" s="2">
        <f>'As Received'!H12</f>
        <v/>
      </c>
      <c r="I12" s="2">
        <f>'As Received'!I12</f>
        <v/>
      </c>
      <c r="J12" s="2">
        <f>'As Received'!J12</f>
        <v/>
      </c>
      <c r="K12" s="2">
        <f>'As Received'!K12</f>
        <v/>
      </c>
      <c r="L12" s="2">
        <f>'As Received'!L12</f>
        <v/>
      </c>
      <c r="M12" s="2">
        <f>'As Received'!M12</f>
        <v/>
      </c>
      <c r="N12" s="2">
        <f>'As Received'!N12</f>
        <v/>
      </c>
      <c r="O12" s="3">
        <f>'As Received'!O12</f>
        <v/>
      </c>
      <c r="P12" s="3">
        <f>'As Received'!P12</f>
        <v/>
      </c>
      <c r="Q12" s="3">
        <f>'As Received'!Q12</f>
        <v/>
      </c>
      <c r="R12" s="2">
        <f>IF(K12="","",K12-(L12+M12+N12))</f>
        <v/>
      </c>
      <c r="S12" s="2">
        <f>IF(J12="","",K12-ROUND(0.8*J12,0))</f>
        <v/>
      </c>
    </row>
    <row r="13">
      <c r="A13" s="2">
        <f>'As Received'!A13</f>
        <v/>
      </c>
      <c r="B13" s="2">
        <f>'As Received'!B13</f>
        <v/>
      </c>
      <c r="C13" s="2">
        <f>'As Received'!C13</f>
        <v/>
      </c>
      <c r="D13" s="3">
        <f>'As Received'!D13</f>
        <v/>
      </c>
      <c r="E13" s="2">
        <f>'As Received'!E13</f>
        <v/>
      </c>
      <c r="F13" s="2">
        <f>'As Received'!F13</f>
        <v/>
      </c>
      <c r="G13" s="2">
        <f>'As Received'!G13</f>
        <v/>
      </c>
      <c r="H13" s="2">
        <f>'As Received'!H13</f>
        <v/>
      </c>
      <c r="I13" s="2">
        <f>'As Received'!I13</f>
        <v/>
      </c>
      <c r="J13" s="2">
        <f>'As Received'!J13</f>
        <v/>
      </c>
      <c r="K13" s="2">
        <f>'As Received'!K13</f>
        <v/>
      </c>
      <c r="L13" s="2">
        <f>'As Received'!L13</f>
        <v/>
      </c>
      <c r="M13" s="2">
        <f>'As Received'!M13</f>
        <v/>
      </c>
      <c r="N13" s="2">
        <f>'As Received'!N13</f>
        <v/>
      </c>
      <c r="O13" s="3">
        <f>'As Received'!O13</f>
        <v/>
      </c>
      <c r="P13" s="3">
        <f>'As Received'!P13</f>
        <v/>
      </c>
      <c r="Q13" s="3">
        <f>'As Received'!Q13</f>
        <v/>
      </c>
      <c r="R13" s="2">
        <f>IF(K13="","",K13-(L13+M13+N13))</f>
        <v/>
      </c>
      <c r="S13" s="2">
        <f>IF(J13="","",K13-ROUND(0.8*J13,0))</f>
        <v/>
      </c>
    </row>
    <row r="14">
      <c r="A14" s="2">
        <f>'As Received'!A14</f>
        <v/>
      </c>
      <c r="B14" s="2">
        <f>'As Received'!B14</f>
        <v/>
      </c>
      <c r="C14" s="2">
        <f>'As Received'!C14</f>
        <v/>
      </c>
      <c r="D14" s="3">
        <f>'As Received'!D14</f>
        <v/>
      </c>
      <c r="E14" s="2">
        <f>'As Received'!E14</f>
        <v/>
      </c>
      <c r="F14" s="2">
        <f>'As Received'!F14</f>
        <v/>
      </c>
      <c r="G14" s="2">
        <f>'As Received'!G14</f>
        <v/>
      </c>
      <c r="H14" s="2">
        <f>'As Received'!H14</f>
        <v/>
      </c>
      <c r="I14" s="2">
        <f>'As Received'!I14</f>
        <v/>
      </c>
      <c r="J14" s="2">
        <f>'As Received'!J14</f>
        <v/>
      </c>
      <c r="K14" s="2">
        <f>'As Received'!K14</f>
        <v/>
      </c>
      <c r="L14" s="2">
        <f>'As Received'!L14</f>
        <v/>
      </c>
      <c r="M14" s="2">
        <f>'As Received'!M14</f>
        <v/>
      </c>
      <c r="N14" s="2">
        <f>'As Received'!N14</f>
        <v/>
      </c>
      <c r="O14" s="3">
        <f>'As Received'!O14</f>
        <v/>
      </c>
      <c r="P14" s="3">
        <f>'As Received'!P14</f>
        <v/>
      </c>
      <c r="Q14" s="3">
        <f>'As Received'!Q14</f>
        <v/>
      </c>
      <c r="R14" s="2">
        <f>IF(K14="","",K14-(L14+M14+N14))</f>
        <v/>
      </c>
      <c r="S14" s="2">
        <f>IF(J14="","",K14-ROUND(0.8*J14,0))</f>
        <v/>
      </c>
    </row>
    <row r="15">
      <c r="A15" s="2">
        <f>'As Received'!A15</f>
        <v/>
      </c>
      <c r="B15" s="2">
        <f>'As Received'!B15</f>
        <v/>
      </c>
      <c r="C15" s="2">
        <f>'As Received'!C15</f>
        <v/>
      </c>
      <c r="D15" s="3">
        <f>'As Received'!D15</f>
        <v/>
      </c>
      <c r="E15" s="2">
        <f>'As Received'!E15</f>
        <v/>
      </c>
      <c r="F15" s="2">
        <f>'As Received'!F15</f>
        <v/>
      </c>
      <c r="G15" s="2">
        <f>'As Received'!G15</f>
        <v/>
      </c>
      <c r="H15" s="2">
        <f>'As Received'!H15</f>
        <v/>
      </c>
      <c r="I15" s="2">
        <f>'As Received'!I15</f>
        <v/>
      </c>
      <c r="J15" s="2">
        <f>'As Received'!J15</f>
        <v/>
      </c>
      <c r="K15" s="2">
        <f>'As Received'!K15</f>
        <v/>
      </c>
      <c r="L15" s="2">
        <f>'As Received'!L15</f>
        <v/>
      </c>
      <c r="M15" s="2">
        <f>'As Received'!M15</f>
        <v/>
      </c>
      <c r="N15" s="2">
        <f>'As Received'!N15</f>
        <v/>
      </c>
      <c r="O15" s="3">
        <f>'As Received'!O15</f>
        <v/>
      </c>
      <c r="P15" s="3">
        <f>'As Received'!P15</f>
        <v/>
      </c>
      <c r="Q15" s="3">
        <f>'As Received'!Q15</f>
        <v/>
      </c>
      <c r="R15" s="2">
        <f>IF(K15="","",K15-(L15+M15+N15))</f>
        <v/>
      </c>
      <c r="S15" s="2">
        <f>IF(J15="","",K15-ROUND(0.8*J15,0))</f>
        <v/>
      </c>
    </row>
    <row r="16">
      <c r="A16" s="2">
        <f>'As Received'!A16</f>
        <v/>
      </c>
      <c r="B16" s="2">
        <f>'As Received'!B16</f>
        <v/>
      </c>
      <c r="C16" s="2">
        <f>'As Received'!C16</f>
        <v/>
      </c>
      <c r="D16" s="3">
        <f>'As Received'!D16</f>
        <v/>
      </c>
      <c r="E16" s="2">
        <f>'As Received'!E16</f>
        <v/>
      </c>
      <c r="F16" s="2">
        <f>'As Received'!F16</f>
        <v/>
      </c>
      <c r="G16" s="2">
        <f>'As Received'!G16</f>
        <v/>
      </c>
      <c r="H16" s="2">
        <f>'As Received'!H16</f>
        <v/>
      </c>
      <c r="I16" s="2">
        <f>'As Received'!I16</f>
        <v/>
      </c>
      <c r="J16" s="2">
        <f>'As Received'!J16</f>
        <v/>
      </c>
      <c r="K16" s="2">
        <f>'As Received'!K16</f>
        <v/>
      </c>
      <c r="L16" s="2">
        <f>'As Received'!L16</f>
        <v/>
      </c>
      <c r="M16" s="2">
        <f>'As Received'!M16</f>
        <v/>
      </c>
      <c r="N16" s="2">
        <f>'As Received'!N16</f>
        <v/>
      </c>
      <c r="O16" s="3">
        <f>'As Received'!O16</f>
        <v/>
      </c>
      <c r="P16" s="3">
        <f>'As Received'!P16</f>
        <v/>
      </c>
      <c r="Q16" s="3">
        <f>'As Received'!Q16</f>
        <v/>
      </c>
      <c r="R16" s="2">
        <f>IF(K16="","",K16-(L16+M16+N16))</f>
        <v/>
      </c>
      <c r="S16" s="2">
        <f>IF(J16="","",K16-ROUND(0.8*J16,0))</f>
        <v/>
      </c>
    </row>
    <row r="17">
      <c r="A17" s="2">
        <f>'As Received'!A17</f>
        <v/>
      </c>
      <c r="B17" s="2">
        <f>'As Received'!B17</f>
        <v/>
      </c>
      <c r="C17" s="2">
        <f>'As Received'!C17</f>
        <v/>
      </c>
      <c r="D17" s="3">
        <f>'As Received'!D17</f>
        <v/>
      </c>
      <c r="E17" s="2">
        <f>'As Received'!E17</f>
        <v/>
      </c>
      <c r="F17" s="2">
        <f>'As Received'!F17</f>
        <v/>
      </c>
      <c r="G17" s="2">
        <f>'As Received'!G17</f>
        <v/>
      </c>
      <c r="H17" s="2">
        <f>'As Received'!H17</f>
        <v/>
      </c>
      <c r="I17" s="2">
        <f>'As Received'!I17</f>
        <v/>
      </c>
      <c r="J17" s="2">
        <f>'As Received'!J17</f>
        <v/>
      </c>
      <c r="K17" s="2">
        <f>'As Received'!K17</f>
        <v/>
      </c>
      <c r="L17" s="2">
        <f>'As Received'!L17</f>
        <v/>
      </c>
      <c r="M17" s="2">
        <f>'As Received'!M17</f>
        <v/>
      </c>
      <c r="N17" s="2">
        <f>'As Received'!N17</f>
        <v/>
      </c>
      <c r="O17" s="3">
        <f>'As Received'!O17</f>
        <v/>
      </c>
      <c r="P17" s="3">
        <f>'As Received'!P17</f>
        <v/>
      </c>
      <c r="Q17" s="3">
        <f>'As Received'!Q17</f>
        <v/>
      </c>
      <c r="R17" s="2">
        <f>IF(K17="","",K17-(L17+M17+N17))</f>
        <v/>
      </c>
      <c r="S17" s="2">
        <f>IF(J17="","",K17-ROUND(0.8*J17,0))</f>
        <v/>
      </c>
    </row>
    <row r="18">
      <c r="A18" s="2">
        <f>'As Received'!A18</f>
        <v/>
      </c>
      <c r="B18" s="2">
        <f>'As Received'!B18</f>
        <v/>
      </c>
      <c r="C18" s="2">
        <f>'As Received'!C18</f>
        <v/>
      </c>
      <c r="D18" s="3">
        <f>'As Received'!D18</f>
        <v/>
      </c>
      <c r="E18" s="2">
        <f>'As Received'!E18</f>
        <v/>
      </c>
      <c r="F18" s="2">
        <f>'As Received'!F18</f>
        <v/>
      </c>
      <c r="G18" s="2">
        <f>'As Received'!G18</f>
        <v/>
      </c>
      <c r="H18" s="2">
        <f>'As Received'!H18</f>
        <v/>
      </c>
      <c r="I18" s="2">
        <f>'As Received'!I18</f>
        <v/>
      </c>
      <c r="J18" s="2">
        <f>'As Received'!J18</f>
        <v/>
      </c>
      <c r="K18" s="2">
        <f>'As Received'!K18</f>
        <v/>
      </c>
      <c r="L18" s="2">
        <f>'As Received'!L18</f>
        <v/>
      </c>
      <c r="M18" s="2">
        <f>'As Received'!M18</f>
        <v/>
      </c>
      <c r="N18" s="2">
        <f>'As Received'!N18</f>
        <v/>
      </c>
      <c r="O18" s="3">
        <f>'As Received'!O18</f>
        <v/>
      </c>
      <c r="P18" s="3">
        <f>'As Received'!P18</f>
        <v/>
      </c>
      <c r="Q18" s="3">
        <f>'As Received'!Q18</f>
        <v/>
      </c>
      <c r="R18" s="2">
        <f>IF(K18="","",K18-(L18+M18+N18))</f>
        <v/>
      </c>
      <c r="S18" s="2">
        <f>IF(J18="","",K18-ROUND(0.8*J18,0))</f>
        <v/>
      </c>
    </row>
    <row r="19">
      <c r="A19" s="2">
        <f>'As Received'!A19</f>
        <v/>
      </c>
      <c r="B19" s="2">
        <f>'As Received'!B19</f>
        <v/>
      </c>
      <c r="C19" s="2">
        <f>'As Received'!C19</f>
        <v/>
      </c>
      <c r="D19" s="3">
        <f>'As Received'!D19</f>
        <v/>
      </c>
      <c r="E19" s="2">
        <f>'As Received'!E19</f>
        <v/>
      </c>
      <c r="F19" s="2">
        <f>'As Received'!F19</f>
        <v/>
      </c>
      <c r="G19" s="2">
        <f>'As Received'!G19</f>
        <v/>
      </c>
      <c r="H19" s="2">
        <f>'As Received'!H19</f>
        <v/>
      </c>
      <c r="I19" s="2">
        <f>'As Received'!I19</f>
        <v/>
      </c>
      <c r="J19" s="2">
        <f>'As Received'!J19</f>
        <v/>
      </c>
      <c r="K19" s="2">
        <f>'As Received'!K19</f>
        <v/>
      </c>
      <c r="L19" s="2">
        <f>'As Received'!L19</f>
        <v/>
      </c>
      <c r="M19" s="2">
        <f>'As Received'!M19</f>
        <v/>
      </c>
      <c r="N19" s="2">
        <f>'As Received'!N19</f>
        <v/>
      </c>
      <c r="O19" s="3">
        <f>'As Received'!O19</f>
        <v/>
      </c>
      <c r="P19" s="3">
        <f>'As Received'!P19</f>
        <v/>
      </c>
      <c r="Q19" s="3">
        <f>'As Received'!Q19</f>
        <v/>
      </c>
      <c r="R19" s="2">
        <f>IF(K19="","",K19-(L19+M19+N19))</f>
        <v/>
      </c>
      <c r="S19" s="2">
        <f>IF(J19="","",K19-ROUND(0.8*J19,0))</f>
        <v/>
      </c>
    </row>
    <row r="20">
      <c r="A20" s="2">
        <f>'As Received'!A20</f>
        <v/>
      </c>
      <c r="B20" s="2">
        <f>'As Received'!B20</f>
        <v/>
      </c>
      <c r="C20" s="2">
        <f>'As Received'!C20</f>
        <v/>
      </c>
      <c r="D20" s="3">
        <f>'As Received'!D20</f>
        <v/>
      </c>
      <c r="E20" s="2">
        <f>'As Received'!E20</f>
        <v/>
      </c>
      <c r="F20" s="2">
        <f>'As Received'!F20</f>
        <v/>
      </c>
      <c r="G20" s="2">
        <f>'As Received'!G20</f>
        <v/>
      </c>
      <c r="H20" s="2">
        <f>'As Received'!H20</f>
        <v/>
      </c>
      <c r="I20" s="2">
        <f>'As Received'!I20</f>
        <v/>
      </c>
      <c r="J20" s="2">
        <f>'As Received'!J20</f>
        <v/>
      </c>
      <c r="K20" s="2">
        <f>'As Received'!K20</f>
        <v/>
      </c>
      <c r="L20" s="2">
        <f>'As Received'!L20</f>
        <v/>
      </c>
      <c r="M20" s="2">
        <f>'As Received'!M20</f>
        <v/>
      </c>
      <c r="N20" s="2">
        <f>'As Received'!N20</f>
        <v/>
      </c>
      <c r="O20" s="3">
        <f>'As Received'!O20</f>
        <v/>
      </c>
      <c r="P20" s="3">
        <f>'As Received'!P20</f>
        <v/>
      </c>
      <c r="Q20" s="3">
        <f>'As Received'!Q20</f>
        <v/>
      </c>
      <c r="R20" s="2">
        <f>IF(K20="","",K20-(L20+M20+N20))</f>
        <v/>
      </c>
      <c r="S20" s="2">
        <f>IF(J20="","",K20-ROUND(0.8*J20,0))</f>
        <v/>
      </c>
    </row>
    <row r="21">
      <c r="A21" s="2">
        <f>'As Received'!A21</f>
        <v/>
      </c>
      <c r="B21" s="2">
        <f>'As Received'!B21</f>
        <v/>
      </c>
      <c r="C21" s="2">
        <f>'As Received'!C21</f>
        <v/>
      </c>
      <c r="D21" s="3">
        <f>'As Received'!D21</f>
        <v/>
      </c>
      <c r="E21" s="2">
        <f>'As Received'!E21</f>
        <v/>
      </c>
      <c r="F21" s="2">
        <f>'As Received'!F21</f>
        <v/>
      </c>
      <c r="G21" s="2">
        <f>'As Received'!G21</f>
        <v/>
      </c>
      <c r="H21" s="2">
        <f>'As Received'!H21</f>
        <v/>
      </c>
      <c r="I21" s="2">
        <f>'As Received'!I21</f>
        <v/>
      </c>
      <c r="J21" s="2">
        <f>'As Received'!J21</f>
        <v/>
      </c>
      <c r="K21" s="2">
        <f>'As Received'!K21</f>
        <v/>
      </c>
      <c r="L21" s="2">
        <f>'As Received'!L21</f>
        <v/>
      </c>
      <c r="M21" s="2">
        <f>'As Received'!M21</f>
        <v/>
      </c>
      <c r="N21" s="2">
        <f>'As Received'!N21</f>
        <v/>
      </c>
      <c r="O21" s="3">
        <f>'As Received'!O21</f>
        <v/>
      </c>
      <c r="P21" s="3">
        <f>'As Received'!P21</f>
        <v/>
      </c>
      <c r="Q21" s="3">
        <f>'As Received'!Q21</f>
        <v/>
      </c>
      <c r="R21" s="2">
        <f>IF(K21="","",K21-(L21+M21+N21))</f>
        <v/>
      </c>
      <c r="S21" s="2">
        <f>IF(J21="","",K21-ROUND(0.8*J21,0))</f>
        <v/>
      </c>
    </row>
    <row r="22">
      <c r="A22" s="2">
        <f>'As Received'!A22</f>
        <v/>
      </c>
      <c r="B22" s="2">
        <f>'As Received'!B22</f>
        <v/>
      </c>
      <c r="C22" s="2">
        <f>'As Received'!C22</f>
        <v/>
      </c>
      <c r="D22" s="3">
        <f>'As Received'!D22</f>
        <v/>
      </c>
      <c r="E22" s="2">
        <f>'As Received'!E22</f>
        <v/>
      </c>
      <c r="F22" s="2">
        <f>'As Received'!F22</f>
        <v/>
      </c>
      <c r="G22" s="2">
        <f>'As Received'!G22</f>
        <v/>
      </c>
      <c r="H22" s="2">
        <f>'As Received'!H22</f>
        <v/>
      </c>
      <c r="I22" s="2">
        <f>'As Received'!I22</f>
        <v/>
      </c>
      <c r="J22" s="2">
        <f>'As Received'!J22</f>
        <v/>
      </c>
      <c r="K22" s="2">
        <f>'As Received'!K22</f>
        <v/>
      </c>
      <c r="L22" s="2">
        <f>'As Received'!L22</f>
        <v/>
      </c>
      <c r="M22" s="2">
        <f>'As Received'!M22</f>
        <v/>
      </c>
      <c r="N22" s="2">
        <f>'As Received'!N22</f>
        <v/>
      </c>
      <c r="O22" s="3">
        <f>'As Received'!O22</f>
        <v/>
      </c>
      <c r="P22" s="3">
        <f>'As Received'!P22</f>
        <v/>
      </c>
      <c r="Q22" s="3">
        <f>'As Received'!Q22</f>
        <v/>
      </c>
      <c r="R22" s="2">
        <f>IF(K22="","",K22-(L22+M22+N22))</f>
        <v/>
      </c>
      <c r="S22" s="2">
        <f>IF(J22="","",K22-ROUND(0.8*J22,0))</f>
        <v/>
      </c>
    </row>
    <row r="23">
      <c r="A23" s="2">
        <f>'As Received'!A23</f>
        <v/>
      </c>
      <c r="B23" s="2">
        <f>'As Received'!B23</f>
        <v/>
      </c>
      <c r="C23" s="2">
        <f>'As Received'!C23</f>
        <v/>
      </c>
      <c r="D23" s="3">
        <f>'As Received'!D23</f>
        <v/>
      </c>
      <c r="E23" s="2">
        <f>'As Received'!E23</f>
        <v/>
      </c>
      <c r="F23" s="2">
        <f>'As Received'!F23</f>
        <v/>
      </c>
      <c r="G23" s="2">
        <f>'As Received'!G23</f>
        <v/>
      </c>
      <c r="H23" s="2">
        <f>'As Received'!H23</f>
        <v/>
      </c>
      <c r="I23" s="2">
        <f>'As Received'!I23</f>
        <v/>
      </c>
      <c r="J23" s="2">
        <f>'As Received'!J23</f>
        <v/>
      </c>
      <c r="K23" s="2">
        <f>'As Received'!K23</f>
        <v/>
      </c>
      <c r="L23" s="2">
        <f>'As Received'!L23</f>
        <v/>
      </c>
      <c r="M23" s="2">
        <f>'As Received'!M23</f>
        <v/>
      </c>
      <c r="N23" s="2">
        <f>'As Received'!N23</f>
        <v/>
      </c>
      <c r="O23" s="3">
        <f>'As Received'!O23</f>
        <v/>
      </c>
      <c r="P23" s="3">
        <f>'As Received'!P23</f>
        <v/>
      </c>
      <c r="Q23" s="3">
        <f>'As Received'!Q23</f>
        <v/>
      </c>
      <c r="R23" s="2">
        <f>IF(K23="","",K23-(L23+M23+N23))</f>
        <v/>
      </c>
      <c r="S23" s="2">
        <f>IF(J23="","",K23-ROUND(0.8*J23,0))</f>
        <v/>
      </c>
    </row>
    <row r="24">
      <c r="A24" s="2">
        <f>'As Received'!A24</f>
        <v/>
      </c>
      <c r="B24" s="2">
        <f>'As Received'!B24</f>
        <v/>
      </c>
      <c r="C24" s="2">
        <f>'As Received'!C24</f>
        <v/>
      </c>
      <c r="D24" s="3">
        <f>'As Received'!D24</f>
        <v/>
      </c>
      <c r="E24" s="2">
        <f>'As Received'!E24</f>
        <v/>
      </c>
      <c r="F24" s="2">
        <f>'As Received'!F24</f>
        <v/>
      </c>
      <c r="G24" s="2">
        <f>'As Received'!G24</f>
        <v/>
      </c>
      <c r="H24" s="2">
        <f>'As Received'!H24</f>
        <v/>
      </c>
      <c r="I24" s="2">
        <f>'As Received'!I24</f>
        <v/>
      </c>
      <c r="J24" s="2">
        <f>'As Received'!J24</f>
        <v/>
      </c>
      <c r="K24" s="2">
        <f>'As Received'!K24</f>
        <v/>
      </c>
      <c r="L24" s="2">
        <f>'As Received'!L24</f>
        <v/>
      </c>
      <c r="M24" s="2">
        <f>'As Received'!M24</f>
        <v/>
      </c>
      <c r="N24" s="2">
        <f>'As Received'!N24</f>
        <v/>
      </c>
      <c r="O24" s="3">
        <f>'As Received'!O24</f>
        <v/>
      </c>
      <c r="P24" s="3">
        <f>'As Received'!P24</f>
        <v/>
      </c>
      <c r="Q24" s="3">
        <f>'As Received'!Q24</f>
        <v/>
      </c>
      <c r="R24" s="2">
        <f>IF(K24="","",K24-(L24+M24+N24))</f>
        <v/>
      </c>
      <c r="S24" s="2">
        <f>IF(J24="","",K24-ROUND(0.8*J24,0))</f>
        <v/>
      </c>
    </row>
    <row r="25">
      <c r="A25" s="2">
        <f>'As Received'!A25</f>
        <v/>
      </c>
      <c r="B25" s="2">
        <f>'As Received'!B25</f>
        <v/>
      </c>
      <c r="C25" s="2">
        <f>'As Received'!C25</f>
        <v/>
      </c>
      <c r="D25" s="3">
        <f>'As Received'!D25</f>
        <v/>
      </c>
      <c r="E25" s="2">
        <f>'As Received'!E25</f>
        <v/>
      </c>
      <c r="F25" s="2">
        <f>'As Received'!F25</f>
        <v/>
      </c>
      <c r="G25" s="2">
        <f>'As Received'!G25</f>
        <v/>
      </c>
      <c r="H25" s="2">
        <f>'As Received'!H25</f>
        <v/>
      </c>
      <c r="I25" s="2">
        <f>'As Received'!I25</f>
        <v/>
      </c>
      <c r="J25" s="2">
        <f>'As Received'!J25</f>
        <v/>
      </c>
      <c r="K25" s="2">
        <f>'As Received'!K25</f>
        <v/>
      </c>
      <c r="L25" s="2">
        <f>'As Received'!L25</f>
        <v/>
      </c>
      <c r="M25" s="2">
        <f>'As Received'!M25</f>
        <v/>
      </c>
      <c r="N25" s="2">
        <f>'As Received'!N25</f>
        <v/>
      </c>
      <c r="O25" s="3">
        <f>'As Received'!O25</f>
        <v/>
      </c>
      <c r="P25" s="3">
        <f>'As Received'!P25</f>
        <v/>
      </c>
      <c r="Q25" s="3">
        <f>'As Received'!Q25</f>
        <v/>
      </c>
      <c r="R25" s="2">
        <f>IF(K25="","",K25-(L25+M25+N25))</f>
        <v/>
      </c>
      <c r="S25" s="2">
        <f>IF(J25="","",K25-ROUND(0.8*J25,0))</f>
        <v/>
      </c>
    </row>
    <row r="26">
      <c r="A26" s="2">
        <f>'As Received'!A26</f>
        <v/>
      </c>
      <c r="B26" s="2">
        <f>'As Received'!B26</f>
        <v/>
      </c>
      <c r="C26" s="2">
        <f>'As Received'!C26</f>
        <v/>
      </c>
      <c r="D26" s="3">
        <f>'As Received'!D26</f>
        <v/>
      </c>
      <c r="E26" s="2">
        <f>'As Received'!E26</f>
        <v/>
      </c>
      <c r="F26" s="2">
        <f>'As Received'!F26</f>
        <v/>
      </c>
      <c r="G26" s="2">
        <f>'As Received'!G26</f>
        <v/>
      </c>
      <c r="H26" s="2">
        <f>'As Received'!H26</f>
        <v/>
      </c>
      <c r="I26" s="2">
        <f>'As Received'!I26</f>
        <v/>
      </c>
      <c r="J26" s="2">
        <f>'As Received'!J26</f>
        <v/>
      </c>
      <c r="K26" s="2">
        <f>'As Received'!K26</f>
        <v/>
      </c>
      <c r="L26" s="2">
        <f>'As Received'!L26</f>
        <v/>
      </c>
      <c r="M26" s="2">
        <f>'As Received'!M26</f>
        <v/>
      </c>
      <c r="N26" s="2">
        <f>'As Received'!N26</f>
        <v/>
      </c>
      <c r="O26" s="3">
        <f>'As Received'!O26</f>
        <v/>
      </c>
      <c r="P26" s="3">
        <f>'As Received'!P26</f>
        <v/>
      </c>
      <c r="Q26" s="3">
        <f>'As Received'!Q26</f>
        <v/>
      </c>
      <c r="R26" s="2">
        <f>IF(K26="","",K26-(L26+M26+N26))</f>
        <v/>
      </c>
      <c r="S26" s="2">
        <f>IF(J26="","",K26-ROUND(0.8*J26,0))</f>
        <v/>
      </c>
    </row>
    <row r="27">
      <c r="A27" s="2">
        <f>'As Received'!A27</f>
        <v/>
      </c>
      <c r="B27" s="2">
        <f>'As Received'!B27</f>
        <v/>
      </c>
      <c r="C27" s="2">
        <f>'As Received'!C27</f>
        <v/>
      </c>
      <c r="D27" s="3">
        <f>'As Received'!D27</f>
        <v/>
      </c>
      <c r="E27" s="2">
        <f>'As Received'!E27</f>
        <v/>
      </c>
      <c r="F27" s="2">
        <f>'As Received'!F27</f>
        <v/>
      </c>
      <c r="G27" s="2">
        <f>'As Received'!G27</f>
        <v/>
      </c>
      <c r="H27" s="2">
        <f>'As Received'!H27</f>
        <v/>
      </c>
      <c r="I27" s="2">
        <f>'As Received'!I27</f>
        <v/>
      </c>
      <c r="J27" s="2">
        <f>'As Received'!J27</f>
        <v/>
      </c>
      <c r="K27" s="2">
        <f>'As Received'!K27</f>
        <v/>
      </c>
      <c r="L27" s="2">
        <f>'As Received'!L27</f>
        <v/>
      </c>
      <c r="M27" s="2">
        <f>'As Received'!M27</f>
        <v/>
      </c>
      <c r="N27" s="2">
        <f>'As Received'!N27</f>
        <v/>
      </c>
      <c r="O27" s="3">
        <f>'As Received'!O27</f>
        <v/>
      </c>
      <c r="P27" s="3">
        <f>'As Received'!P27</f>
        <v/>
      </c>
      <c r="Q27" s="3">
        <f>'As Received'!Q27</f>
        <v/>
      </c>
      <c r="R27" s="2">
        <f>IF(K27="","",K27-(L27+M27+N27))</f>
        <v/>
      </c>
      <c r="S27" s="2">
        <f>IF(J27="","",K27-ROUND(0.8*J27,0))</f>
        <v/>
      </c>
    </row>
    <row r="28">
      <c r="A28" s="2">
        <f>'As Received'!A28</f>
        <v/>
      </c>
      <c r="B28" s="2">
        <f>'As Received'!B28</f>
        <v/>
      </c>
      <c r="C28" s="2">
        <f>'As Received'!C28</f>
        <v/>
      </c>
      <c r="D28" s="3">
        <f>'As Received'!D28</f>
        <v/>
      </c>
      <c r="E28" s="2">
        <f>'As Received'!E28</f>
        <v/>
      </c>
      <c r="F28" s="2">
        <f>'As Received'!F28</f>
        <v/>
      </c>
      <c r="G28" s="2">
        <f>'As Received'!G28</f>
        <v/>
      </c>
      <c r="H28" s="2">
        <f>'As Received'!H28</f>
        <v/>
      </c>
      <c r="I28" s="2">
        <f>'As Received'!I28</f>
        <v/>
      </c>
      <c r="J28" s="2">
        <f>'As Received'!J28</f>
        <v/>
      </c>
      <c r="K28" s="2">
        <f>'As Received'!K28</f>
        <v/>
      </c>
      <c r="L28" s="2">
        <f>'As Received'!L28</f>
        <v/>
      </c>
      <c r="M28" s="2">
        <f>'As Received'!M28</f>
        <v/>
      </c>
      <c r="N28" s="2">
        <f>'As Received'!N28</f>
        <v/>
      </c>
      <c r="O28" s="3">
        <f>'As Received'!O28</f>
        <v/>
      </c>
      <c r="P28" s="3">
        <f>'As Received'!P28</f>
        <v/>
      </c>
      <c r="Q28" s="3">
        <f>'As Received'!Q28</f>
        <v/>
      </c>
      <c r="R28" s="2">
        <f>IF(K28="","",K28-(L28+M28+N28))</f>
        <v/>
      </c>
      <c r="S28" s="2">
        <f>IF(J28="","",K28-ROUND(0.8*J28,0))</f>
        <v/>
      </c>
    </row>
    <row r="29">
      <c r="A29" s="2">
        <f>'As Received'!A29</f>
        <v/>
      </c>
      <c r="B29" s="2">
        <f>'As Received'!B29</f>
        <v/>
      </c>
      <c r="C29" s="2">
        <f>'As Received'!C29</f>
        <v/>
      </c>
      <c r="D29" s="3">
        <f>'As Received'!D29</f>
        <v/>
      </c>
      <c r="E29" s="2">
        <f>'As Received'!E29</f>
        <v/>
      </c>
      <c r="F29" s="2">
        <f>'As Received'!F29</f>
        <v/>
      </c>
      <c r="G29" s="2">
        <f>'As Received'!G29</f>
        <v/>
      </c>
      <c r="H29" s="2">
        <f>'As Received'!H29</f>
        <v/>
      </c>
      <c r="I29" s="2">
        <f>'As Received'!I29</f>
        <v/>
      </c>
      <c r="J29" s="2">
        <f>'As Received'!J29</f>
        <v/>
      </c>
      <c r="K29" s="2">
        <f>'As Received'!K29</f>
        <v/>
      </c>
      <c r="L29" s="2">
        <f>'As Received'!L29</f>
        <v/>
      </c>
      <c r="M29" s="2">
        <f>'As Received'!M29</f>
        <v/>
      </c>
      <c r="N29" s="2">
        <f>'As Received'!N29</f>
        <v/>
      </c>
      <c r="O29" s="3">
        <f>'As Received'!O29</f>
        <v/>
      </c>
      <c r="P29" s="3">
        <f>'As Received'!P29</f>
        <v/>
      </c>
      <c r="Q29" s="3">
        <f>'As Received'!Q29</f>
        <v/>
      </c>
      <c r="R29" s="2">
        <f>IF(K29="","",K29-(L29+M29+N29))</f>
        <v/>
      </c>
      <c r="S29" s="2">
        <f>IF(J29="","",K29-ROUND(0.8*J29,0))</f>
        <v/>
      </c>
    </row>
    <row r="30">
      <c r="A30" s="2">
        <f>'As Received'!A30</f>
        <v/>
      </c>
      <c r="B30" s="2">
        <f>'As Received'!B30</f>
        <v/>
      </c>
      <c r="C30" s="2">
        <f>'As Received'!C30</f>
        <v/>
      </c>
      <c r="D30" s="3">
        <f>'As Received'!D30</f>
        <v/>
      </c>
      <c r="E30" s="2">
        <f>'As Received'!E30</f>
        <v/>
      </c>
      <c r="F30" s="2">
        <f>'As Received'!F30</f>
        <v/>
      </c>
      <c r="G30" s="2">
        <f>'As Received'!G30</f>
        <v/>
      </c>
      <c r="H30" s="2">
        <f>'As Received'!H30</f>
        <v/>
      </c>
      <c r="I30" s="2">
        <f>'As Received'!I30</f>
        <v/>
      </c>
      <c r="J30" s="2">
        <f>'As Received'!J30</f>
        <v/>
      </c>
      <c r="K30" s="2">
        <f>'As Received'!K30</f>
        <v/>
      </c>
      <c r="L30" s="2">
        <f>'As Received'!L30</f>
        <v/>
      </c>
      <c r="M30" s="2">
        <f>'As Received'!M30</f>
        <v/>
      </c>
      <c r="N30" s="2">
        <f>'As Received'!N30</f>
        <v/>
      </c>
      <c r="O30" s="3">
        <f>'As Received'!O30</f>
        <v/>
      </c>
      <c r="P30" s="3">
        <f>'As Received'!P30</f>
        <v/>
      </c>
      <c r="Q30" s="3">
        <f>'As Received'!Q30</f>
        <v/>
      </c>
      <c r="R30" s="2">
        <f>IF(K30="","",K30-(L30+M30+N30))</f>
        <v/>
      </c>
      <c r="S30" s="2">
        <f>IF(J30="","",K30-ROUND(0.8*J30,0))</f>
        <v/>
      </c>
    </row>
    <row r="31">
      <c r="A31" s="2">
        <f>'As Received'!A31</f>
        <v/>
      </c>
      <c r="B31" s="2">
        <f>'As Received'!B31</f>
        <v/>
      </c>
      <c r="C31" s="2">
        <f>'As Received'!C31</f>
        <v/>
      </c>
      <c r="D31" s="3">
        <f>'As Received'!D31</f>
        <v/>
      </c>
      <c r="E31" s="2">
        <f>'As Received'!E31</f>
        <v/>
      </c>
      <c r="F31" s="2">
        <f>'As Received'!F31</f>
        <v/>
      </c>
      <c r="G31" s="2">
        <f>'As Received'!G31</f>
        <v/>
      </c>
      <c r="H31" s="2">
        <f>'As Received'!H31</f>
        <v/>
      </c>
      <c r="I31" s="2">
        <f>'As Received'!I31</f>
        <v/>
      </c>
      <c r="J31" s="2">
        <f>'As Received'!J31</f>
        <v/>
      </c>
      <c r="K31" s="2">
        <f>'As Received'!K31</f>
        <v/>
      </c>
      <c r="L31" s="2">
        <f>'As Received'!L31</f>
        <v/>
      </c>
      <c r="M31" s="2">
        <f>'As Received'!M31</f>
        <v/>
      </c>
      <c r="N31" s="2">
        <f>'As Received'!N31</f>
        <v/>
      </c>
      <c r="O31" s="3">
        <f>'As Received'!O31</f>
        <v/>
      </c>
      <c r="P31" s="3">
        <f>'As Received'!P31</f>
        <v/>
      </c>
      <c r="Q31" s="3">
        <f>'As Received'!Q31</f>
        <v/>
      </c>
      <c r="R31" s="2">
        <f>IF(K31="","",K31-(L31+M31+N31))</f>
        <v/>
      </c>
      <c r="S31" s="2">
        <f>IF(J31="","",K31-ROUND(0.8*J31,0))</f>
        <v/>
      </c>
    </row>
    <row r="32">
      <c r="A32" s="2">
        <f>'As Received'!A32</f>
        <v/>
      </c>
      <c r="B32" s="2">
        <f>'As Received'!B32</f>
        <v/>
      </c>
      <c r="C32" s="2">
        <f>'As Received'!C32</f>
        <v/>
      </c>
      <c r="D32" s="3">
        <f>'As Received'!D32</f>
        <v/>
      </c>
      <c r="E32" s="2">
        <f>'As Received'!E32</f>
        <v/>
      </c>
      <c r="F32" s="2">
        <f>'As Received'!F32</f>
        <v/>
      </c>
      <c r="G32" s="2">
        <f>'As Received'!G32</f>
        <v/>
      </c>
      <c r="H32" s="2">
        <f>'As Received'!H32</f>
        <v/>
      </c>
      <c r="I32" s="2">
        <f>'As Received'!I32</f>
        <v/>
      </c>
      <c r="J32" s="2">
        <f>'As Received'!J32</f>
        <v/>
      </c>
      <c r="K32" s="2">
        <f>'As Received'!K32</f>
        <v/>
      </c>
      <c r="L32" s="2">
        <f>'As Received'!L32</f>
        <v/>
      </c>
      <c r="M32" s="2">
        <f>'As Received'!M32</f>
        <v/>
      </c>
      <c r="N32" s="2">
        <f>'As Received'!N32</f>
        <v/>
      </c>
      <c r="O32" s="3">
        <f>'As Received'!O32</f>
        <v/>
      </c>
      <c r="P32" s="3">
        <f>'As Received'!P32</f>
        <v/>
      </c>
      <c r="Q32" s="3">
        <f>'As Received'!Q32</f>
        <v/>
      </c>
      <c r="R32" s="2">
        <f>IF(K32="","",K32-(L32+M32+N32))</f>
        <v/>
      </c>
      <c r="S32" s="2">
        <f>IF(J32="","",K32-ROUND(0.8*J32,0))</f>
        <v/>
      </c>
    </row>
    <row r="33">
      <c r="A33" s="2">
        <f>'As Received'!A33</f>
        <v/>
      </c>
      <c r="B33" s="2">
        <f>'As Received'!B33</f>
        <v/>
      </c>
      <c r="C33" s="2">
        <f>'As Received'!C33</f>
        <v/>
      </c>
      <c r="D33" s="3">
        <f>'As Received'!D33</f>
        <v/>
      </c>
      <c r="E33" s="2">
        <f>'As Received'!E33</f>
        <v/>
      </c>
      <c r="F33" s="2">
        <f>'As Received'!F33</f>
        <v/>
      </c>
      <c r="G33" s="2">
        <f>'As Received'!G33</f>
        <v/>
      </c>
      <c r="H33" s="2">
        <f>'As Received'!H33</f>
        <v/>
      </c>
      <c r="I33" s="2">
        <f>'As Received'!I33</f>
        <v/>
      </c>
      <c r="J33" s="2">
        <f>'As Received'!J33</f>
        <v/>
      </c>
      <c r="K33" s="2">
        <f>'As Received'!K33</f>
        <v/>
      </c>
      <c r="L33" s="2">
        <f>'As Received'!L33</f>
        <v/>
      </c>
      <c r="M33" s="2">
        <f>'As Received'!M33</f>
        <v/>
      </c>
      <c r="N33" s="2">
        <f>'As Received'!N33</f>
        <v/>
      </c>
      <c r="O33" s="3">
        <f>'As Received'!O33</f>
        <v/>
      </c>
      <c r="P33" s="3">
        <f>'As Received'!P33</f>
        <v/>
      </c>
      <c r="Q33" s="3">
        <f>'As Received'!Q33</f>
        <v/>
      </c>
      <c r="R33" s="2">
        <f>IF(K33="","",K33-(L33+M33+N33))</f>
        <v/>
      </c>
      <c r="S33" s="2">
        <f>IF(J33="","",K33-ROUND(0.8*J33,0))</f>
        <v/>
      </c>
    </row>
    <row r="34">
      <c r="A34" s="2">
        <f>'As Received'!A34</f>
        <v/>
      </c>
      <c r="B34" s="2">
        <f>'As Received'!B34</f>
        <v/>
      </c>
      <c r="C34" s="2">
        <f>'As Received'!C34</f>
        <v/>
      </c>
      <c r="D34" s="3">
        <f>'As Received'!D34</f>
        <v/>
      </c>
      <c r="E34" s="2">
        <f>'As Received'!E34</f>
        <v/>
      </c>
      <c r="F34" s="2">
        <f>'As Received'!F34</f>
        <v/>
      </c>
      <c r="G34" s="2">
        <f>'As Received'!G34</f>
        <v/>
      </c>
      <c r="H34" s="2">
        <f>'As Received'!H34</f>
        <v/>
      </c>
      <c r="I34" s="2">
        <f>'As Received'!I34</f>
        <v/>
      </c>
      <c r="J34" s="2">
        <f>'As Received'!J34</f>
        <v/>
      </c>
      <c r="K34" s="2">
        <f>'As Received'!K34</f>
        <v/>
      </c>
      <c r="L34" s="2">
        <f>'As Received'!L34</f>
        <v/>
      </c>
      <c r="M34" s="2">
        <f>'As Received'!M34</f>
        <v/>
      </c>
      <c r="N34" s="2">
        <f>'As Received'!N34</f>
        <v/>
      </c>
      <c r="O34" s="3">
        <f>'As Received'!O34</f>
        <v/>
      </c>
      <c r="P34" s="3">
        <f>'As Received'!P34</f>
        <v/>
      </c>
      <c r="Q34" s="3">
        <f>'As Received'!Q34</f>
        <v/>
      </c>
      <c r="R34" s="2">
        <f>IF(K34="","",K34-(L34+M34+N34))</f>
        <v/>
      </c>
      <c r="S34" s="2">
        <f>IF(J34="","",K34-ROUND(0.8*J34,0))</f>
        <v/>
      </c>
    </row>
    <row r="35">
      <c r="A35" s="2">
        <f>'As Received'!A35</f>
        <v/>
      </c>
      <c r="B35" s="2">
        <f>'As Received'!B35</f>
        <v/>
      </c>
      <c r="C35" s="2">
        <f>'As Received'!C35</f>
        <v/>
      </c>
      <c r="D35" s="3">
        <f>'As Received'!D35</f>
        <v/>
      </c>
      <c r="E35" s="2">
        <f>'As Received'!E35</f>
        <v/>
      </c>
      <c r="F35" s="2">
        <f>'As Received'!F35</f>
        <v/>
      </c>
      <c r="G35" s="2">
        <f>'As Received'!G35</f>
        <v/>
      </c>
      <c r="H35" s="2">
        <f>'As Received'!H35</f>
        <v/>
      </c>
      <c r="I35" s="2">
        <f>'As Received'!I35</f>
        <v/>
      </c>
      <c r="J35" s="2">
        <f>'As Received'!J35</f>
        <v/>
      </c>
      <c r="K35" s="2">
        <f>'As Received'!K35</f>
        <v/>
      </c>
      <c r="L35" s="2">
        <f>'As Received'!L35</f>
        <v/>
      </c>
      <c r="M35" s="2">
        <f>'As Received'!M35</f>
        <v/>
      </c>
      <c r="N35" s="2">
        <f>'As Received'!N35</f>
        <v/>
      </c>
      <c r="O35" s="3">
        <f>'As Received'!O35</f>
        <v/>
      </c>
      <c r="P35" s="3">
        <f>'As Received'!P35</f>
        <v/>
      </c>
      <c r="Q35" s="3">
        <f>'As Received'!Q35</f>
        <v/>
      </c>
      <c r="R35" s="2">
        <f>IF(K35="","",K35-(L35+M35+N35))</f>
        <v/>
      </c>
      <c r="S35" s="2">
        <f>IF(J35="","",K35-ROUND(0.8*J35,0))</f>
        <v/>
      </c>
    </row>
    <row r="36">
      <c r="A36" s="2">
        <f>'As Received'!A36</f>
        <v/>
      </c>
      <c r="B36" s="2">
        <f>'As Received'!B36</f>
        <v/>
      </c>
      <c r="C36" s="2">
        <f>'As Received'!C36</f>
        <v/>
      </c>
      <c r="D36" s="3">
        <f>'As Received'!D36</f>
        <v/>
      </c>
      <c r="E36" s="2">
        <f>'As Received'!E36</f>
        <v/>
      </c>
      <c r="F36" s="2">
        <f>'As Received'!F36</f>
        <v/>
      </c>
      <c r="G36" s="2">
        <f>'As Received'!G36</f>
        <v/>
      </c>
      <c r="H36" s="2">
        <f>'As Received'!H36</f>
        <v/>
      </c>
      <c r="I36" s="2">
        <f>'As Received'!I36</f>
        <v/>
      </c>
      <c r="J36" s="2">
        <f>'As Received'!J36</f>
        <v/>
      </c>
      <c r="K36" s="2">
        <f>'As Received'!K36</f>
        <v/>
      </c>
      <c r="L36" s="2">
        <f>'As Received'!L36</f>
        <v/>
      </c>
      <c r="M36" s="2">
        <f>'As Received'!M36</f>
        <v/>
      </c>
      <c r="N36" s="2">
        <f>'As Received'!N36</f>
        <v/>
      </c>
      <c r="O36" s="3">
        <f>'As Received'!O36</f>
        <v/>
      </c>
      <c r="P36" s="3">
        <f>'As Received'!P36</f>
        <v/>
      </c>
      <c r="Q36" s="3">
        <f>'As Received'!Q36</f>
        <v/>
      </c>
      <c r="R36" s="2">
        <f>IF(K36="","",K36-(L36+M36+N36))</f>
        <v/>
      </c>
      <c r="S36" s="2">
        <f>IF(J36="","",K36-ROUND(0.8*J36,0))</f>
        <v/>
      </c>
    </row>
    <row r="37">
      <c r="A37" s="2">
        <f>'As Received'!A37</f>
        <v/>
      </c>
      <c r="B37" s="2">
        <f>'As Received'!B37</f>
        <v/>
      </c>
      <c r="C37" s="2">
        <f>'As Received'!C37</f>
        <v/>
      </c>
      <c r="D37" s="3">
        <f>'As Received'!D37</f>
        <v/>
      </c>
      <c r="E37" s="2">
        <f>'As Received'!E37</f>
        <v/>
      </c>
      <c r="F37" s="2">
        <f>'As Received'!F37</f>
        <v/>
      </c>
      <c r="G37" s="2">
        <f>'As Received'!G37</f>
        <v/>
      </c>
      <c r="H37" s="2">
        <f>'As Received'!H37</f>
        <v/>
      </c>
      <c r="I37" s="2">
        <f>'As Received'!I37</f>
        <v/>
      </c>
      <c r="J37" s="2">
        <f>'As Received'!J37</f>
        <v/>
      </c>
      <c r="K37" s="2">
        <f>'As Received'!K37</f>
        <v/>
      </c>
      <c r="L37" s="2">
        <f>'As Received'!L37</f>
        <v/>
      </c>
      <c r="M37" s="2">
        <f>'As Received'!M37</f>
        <v/>
      </c>
      <c r="N37" s="2">
        <f>'As Received'!N37</f>
        <v/>
      </c>
      <c r="O37" s="3">
        <f>'As Received'!O37</f>
        <v/>
      </c>
      <c r="P37" s="3">
        <f>'As Received'!P37</f>
        <v/>
      </c>
      <c r="Q37" s="3">
        <f>'As Received'!Q37</f>
        <v/>
      </c>
      <c r="R37" s="2">
        <f>IF(K37="","",K37-(L37+M37+N37))</f>
        <v/>
      </c>
      <c r="S37" s="2">
        <f>IF(J37="","",K37-ROUND(0.8*J37,0))</f>
        <v/>
      </c>
    </row>
    <row r="38">
      <c r="A38" s="2">
        <f>'As Received'!A38</f>
        <v/>
      </c>
      <c r="B38" s="2">
        <f>'As Received'!B38</f>
        <v/>
      </c>
      <c r="C38" s="2">
        <f>'As Received'!C38</f>
        <v/>
      </c>
      <c r="D38" s="3">
        <f>'As Received'!D38</f>
        <v/>
      </c>
      <c r="E38" s="2">
        <f>'As Received'!E38</f>
        <v/>
      </c>
      <c r="F38" s="2">
        <f>'As Received'!F38</f>
        <v/>
      </c>
      <c r="G38" s="2">
        <f>'As Received'!G38</f>
        <v/>
      </c>
      <c r="H38" s="2">
        <f>'As Received'!H38</f>
        <v/>
      </c>
      <c r="I38" s="2">
        <f>'As Received'!I38</f>
        <v/>
      </c>
      <c r="J38" s="2">
        <f>'As Received'!J38</f>
        <v/>
      </c>
      <c r="K38" s="2">
        <f>'As Received'!K38</f>
        <v/>
      </c>
      <c r="L38" s="2">
        <f>'As Received'!L38</f>
        <v/>
      </c>
      <c r="M38" s="2">
        <f>'As Received'!M38</f>
        <v/>
      </c>
      <c r="N38" s="2">
        <f>'As Received'!N38</f>
        <v/>
      </c>
      <c r="O38" s="3">
        <f>'As Received'!O38</f>
        <v/>
      </c>
      <c r="P38" s="3">
        <f>'As Received'!P38</f>
        <v/>
      </c>
      <c r="Q38" s="3">
        <f>'As Received'!Q38</f>
        <v/>
      </c>
      <c r="R38" s="2">
        <f>IF(K38="","",K38-(L38+M38+N38))</f>
        <v/>
      </c>
      <c r="S38" s="2">
        <f>IF(J38="","",K38-ROUND(0.8*J38,0))</f>
        <v/>
      </c>
    </row>
    <row r="39">
      <c r="A39" s="2">
        <f>'As Received'!A39</f>
        <v/>
      </c>
      <c r="B39" s="2">
        <f>'As Received'!B39</f>
        <v/>
      </c>
      <c r="C39" s="2">
        <f>'As Received'!C39</f>
        <v/>
      </c>
      <c r="D39" s="3">
        <f>'As Received'!D39</f>
        <v/>
      </c>
      <c r="E39" s="2">
        <f>'As Received'!E39</f>
        <v/>
      </c>
      <c r="F39" s="2">
        <f>'As Received'!F39</f>
        <v/>
      </c>
      <c r="G39" s="2">
        <f>'As Received'!G39</f>
        <v/>
      </c>
      <c r="H39" s="2">
        <f>'As Received'!H39</f>
        <v/>
      </c>
      <c r="I39" s="2">
        <f>'As Received'!I39</f>
        <v/>
      </c>
      <c r="J39" s="2">
        <f>'As Received'!J39</f>
        <v/>
      </c>
      <c r="K39" s="2">
        <f>'As Received'!K39</f>
        <v/>
      </c>
      <c r="L39" s="2">
        <f>'As Received'!L39</f>
        <v/>
      </c>
      <c r="M39" s="2">
        <f>'As Received'!M39</f>
        <v/>
      </c>
      <c r="N39" s="2">
        <f>'As Received'!N39</f>
        <v/>
      </c>
      <c r="O39" s="3">
        <f>'As Received'!O39</f>
        <v/>
      </c>
      <c r="P39" s="3">
        <f>'As Received'!P39</f>
        <v/>
      </c>
      <c r="Q39" s="3">
        <f>'As Received'!Q39</f>
        <v/>
      </c>
      <c r="R39" s="2">
        <f>IF(K39="","",K39-(L39+M39+N39))</f>
        <v/>
      </c>
      <c r="S39" s="2">
        <f>IF(J39="","",K39-ROUND(0.8*J39,0))</f>
        <v/>
      </c>
    </row>
    <row r="40">
      <c r="A40" s="2">
        <f>'As Received'!A40</f>
        <v/>
      </c>
      <c r="B40" s="2">
        <f>'As Received'!B40</f>
        <v/>
      </c>
      <c r="C40" s="2">
        <f>'As Received'!C40</f>
        <v/>
      </c>
      <c r="D40" s="3">
        <f>'As Received'!D40</f>
        <v/>
      </c>
      <c r="E40" s="2">
        <f>'As Received'!E40</f>
        <v/>
      </c>
      <c r="F40" s="2">
        <f>'As Received'!F40</f>
        <v/>
      </c>
      <c r="G40" s="2">
        <f>'As Received'!G40</f>
        <v/>
      </c>
      <c r="H40" s="2">
        <f>'As Received'!H40</f>
        <v/>
      </c>
      <c r="I40" s="2">
        <f>'As Received'!I40</f>
        <v/>
      </c>
      <c r="J40" s="2">
        <f>'As Received'!J40</f>
        <v/>
      </c>
      <c r="K40" s="2">
        <f>'As Received'!K40</f>
        <v/>
      </c>
      <c r="L40" s="2">
        <f>'As Received'!L40</f>
        <v/>
      </c>
      <c r="M40" s="2">
        <f>'As Received'!M40</f>
        <v/>
      </c>
      <c r="N40" s="2">
        <f>'As Received'!N40</f>
        <v/>
      </c>
      <c r="O40" s="3">
        <f>'As Received'!O40</f>
        <v/>
      </c>
      <c r="P40" s="3">
        <f>'As Received'!P40</f>
        <v/>
      </c>
      <c r="Q40" s="3">
        <f>'As Received'!Q40</f>
        <v/>
      </c>
      <c r="R40" s="2">
        <f>IF(K40="","",K40-(L40+M40+N40))</f>
        <v/>
      </c>
      <c r="S40" s="2">
        <f>IF(J40="","",K40-ROUND(0.8*J40,0))</f>
        <v/>
      </c>
    </row>
    <row r="41">
      <c r="A41" s="2">
        <f>'As Received'!A41</f>
        <v/>
      </c>
      <c r="B41" s="2">
        <f>'As Received'!B41</f>
        <v/>
      </c>
      <c r="C41" s="2">
        <f>'As Received'!C41</f>
        <v/>
      </c>
      <c r="D41" s="3">
        <f>'As Received'!D41</f>
        <v/>
      </c>
      <c r="E41" s="2">
        <f>'As Received'!E41</f>
        <v/>
      </c>
      <c r="F41" s="2">
        <f>'As Received'!F41</f>
        <v/>
      </c>
      <c r="G41" s="2">
        <f>'As Received'!G41</f>
        <v/>
      </c>
      <c r="H41" s="2">
        <f>'As Received'!H41</f>
        <v/>
      </c>
      <c r="I41" s="2">
        <f>'As Received'!I41</f>
        <v/>
      </c>
      <c r="J41" s="2">
        <f>'As Received'!J41</f>
        <v/>
      </c>
      <c r="K41" s="2">
        <f>'As Received'!K41</f>
        <v/>
      </c>
      <c r="L41" s="2">
        <f>'As Received'!L41</f>
        <v/>
      </c>
      <c r="M41" s="2">
        <f>'As Received'!M41</f>
        <v/>
      </c>
      <c r="N41" s="2">
        <f>'As Received'!N41</f>
        <v/>
      </c>
      <c r="O41" s="3">
        <f>'As Received'!O41</f>
        <v/>
      </c>
      <c r="P41" s="3">
        <f>'As Received'!P41</f>
        <v/>
      </c>
      <c r="Q41" s="3">
        <f>'As Received'!Q41</f>
        <v/>
      </c>
      <c r="R41" s="2">
        <f>IF(K41="","",K41-(L41+M41+N41))</f>
        <v/>
      </c>
      <c r="S41" s="2">
        <f>IF(J41="","",K41-ROUND(0.8*J41,0))</f>
        <v/>
      </c>
    </row>
    <row r="42">
      <c r="A42" s="2">
        <f>'As Received'!A42</f>
        <v/>
      </c>
      <c r="B42" s="2">
        <f>'As Received'!B42</f>
        <v/>
      </c>
      <c r="C42" s="2">
        <f>'As Received'!C42</f>
        <v/>
      </c>
      <c r="D42" s="3">
        <f>'As Received'!D42</f>
        <v/>
      </c>
      <c r="E42" s="2">
        <f>'As Received'!E42</f>
        <v/>
      </c>
      <c r="F42" s="2">
        <f>'As Received'!F42</f>
        <v/>
      </c>
      <c r="G42" s="2">
        <f>'As Received'!G42</f>
        <v/>
      </c>
      <c r="H42" s="2">
        <f>'As Received'!H42</f>
        <v/>
      </c>
      <c r="I42" s="2">
        <f>'As Received'!I42</f>
        <v/>
      </c>
      <c r="J42" s="2">
        <f>'As Received'!J42</f>
        <v/>
      </c>
      <c r="K42" s="2">
        <f>'As Received'!K42</f>
        <v/>
      </c>
      <c r="L42" s="2">
        <f>'As Received'!L42</f>
        <v/>
      </c>
      <c r="M42" s="2">
        <f>'As Received'!M42</f>
        <v/>
      </c>
      <c r="N42" s="2">
        <f>'As Received'!N42</f>
        <v/>
      </c>
      <c r="O42" s="3">
        <f>'As Received'!O42</f>
        <v/>
      </c>
      <c r="P42" s="3">
        <f>'As Received'!P42</f>
        <v/>
      </c>
      <c r="Q42" s="3">
        <f>'As Received'!Q42</f>
        <v/>
      </c>
      <c r="R42" s="2">
        <f>IF(K42="","",K42-(L42+M42+N42))</f>
        <v/>
      </c>
      <c r="S42" s="2">
        <f>IF(J42="","",K42-ROUND(0.8*J42,0))</f>
        <v/>
      </c>
    </row>
    <row r="43">
      <c r="A43" s="2">
        <f>'As Received'!A43</f>
        <v/>
      </c>
      <c r="B43" s="2">
        <f>'As Received'!B43</f>
        <v/>
      </c>
      <c r="C43" s="2">
        <f>'As Received'!C43</f>
        <v/>
      </c>
      <c r="D43" s="3">
        <f>'As Received'!D43</f>
        <v/>
      </c>
      <c r="E43" s="2">
        <f>'As Received'!E43</f>
        <v/>
      </c>
      <c r="F43" s="2">
        <f>'As Received'!F43</f>
        <v/>
      </c>
      <c r="G43" s="2">
        <f>'As Received'!G43</f>
        <v/>
      </c>
      <c r="H43" s="2">
        <f>'As Received'!H43</f>
        <v/>
      </c>
      <c r="I43" s="2">
        <f>'As Received'!I43</f>
        <v/>
      </c>
      <c r="J43" s="2">
        <f>'As Received'!J43</f>
        <v/>
      </c>
      <c r="K43" s="2">
        <f>'As Received'!K43</f>
        <v/>
      </c>
      <c r="L43" s="2">
        <f>'As Received'!L43</f>
        <v/>
      </c>
      <c r="M43" s="2">
        <f>'As Received'!M43</f>
        <v/>
      </c>
      <c r="N43" s="2">
        <f>'As Received'!N43</f>
        <v/>
      </c>
      <c r="O43" s="3">
        <f>'As Received'!O43</f>
        <v/>
      </c>
      <c r="P43" s="3">
        <f>'As Received'!P43</f>
        <v/>
      </c>
      <c r="Q43" s="3">
        <f>'As Received'!Q43</f>
        <v/>
      </c>
      <c r="R43" s="2">
        <f>IF(K43="","",K43-(L43+M43+N43))</f>
        <v/>
      </c>
      <c r="S43" s="2">
        <f>IF(J43="","",K43-ROUND(0.8*J43,0))</f>
        <v/>
      </c>
    </row>
    <row r="44">
      <c r="A44" s="2">
        <f>'As Received'!A44</f>
        <v/>
      </c>
      <c r="B44" s="2">
        <f>'As Received'!B44</f>
        <v/>
      </c>
      <c r="C44" s="2">
        <f>'As Received'!C44</f>
        <v/>
      </c>
      <c r="D44" s="3">
        <f>'As Received'!D44</f>
        <v/>
      </c>
      <c r="E44" s="2">
        <f>'As Received'!E44</f>
        <v/>
      </c>
      <c r="F44" s="2">
        <f>'As Received'!F44</f>
        <v/>
      </c>
      <c r="G44" s="2">
        <f>'As Received'!G44</f>
        <v/>
      </c>
      <c r="H44" s="2">
        <f>'As Received'!H44</f>
        <v/>
      </c>
      <c r="I44" s="2">
        <f>'As Received'!I44</f>
        <v/>
      </c>
      <c r="J44" s="2">
        <f>'As Received'!J44</f>
        <v/>
      </c>
      <c r="K44" s="2">
        <f>'As Received'!K44</f>
        <v/>
      </c>
      <c r="L44" s="2">
        <f>'As Received'!L44</f>
        <v/>
      </c>
      <c r="M44" s="2">
        <f>'As Received'!M44</f>
        <v/>
      </c>
      <c r="N44" s="2">
        <f>'As Received'!N44</f>
        <v/>
      </c>
      <c r="O44" s="3">
        <f>'As Received'!O44</f>
        <v/>
      </c>
      <c r="P44" s="3">
        <f>'As Received'!P44</f>
        <v/>
      </c>
      <c r="Q44" s="3">
        <f>'As Received'!Q44</f>
        <v/>
      </c>
      <c r="R44" s="2">
        <f>IF(K44="","",K44-(L44+M44+N44))</f>
        <v/>
      </c>
      <c r="S44" s="2">
        <f>IF(J44="","",K44-ROUND(0.8*J44,0))</f>
        <v/>
      </c>
    </row>
    <row r="45">
      <c r="A45" s="2">
        <f>'As Received'!A45</f>
        <v/>
      </c>
      <c r="B45" s="2">
        <f>'As Received'!B45</f>
        <v/>
      </c>
      <c r="C45" s="2">
        <f>'As Received'!C45</f>
        <v/>
      </c>
      <c r="D45" s="3">
        <f>'As Received'!D45</f>
        <v/>
      </c>
      <c r="E45" s="2">
        <f>'As Received'!E45</f>
        <v/>
      </c>
      <c r="F45" s="2">
        <f>'As Received'!F45</f>
        <v/>
      </c>
      <c r="G45" s="2">
        <f>'As Received'!G45</f>
        <v/>
      </c>
      <c r="H45" s="2">
        <f>'As Received'!H45</f>
        <v/>
      </c>
      <c r="I45" s="2">
        <f>'As Received'!I45</f>
        <v/>
      </c>
      <c r="J45" s="2">
        <f>'As Received'!J45</f>
        <v/>
      </c>
      <c r="K45" s="2">
        <f>'As Received'!K45</f>
        <v/>
      </c>
      <c r="L45" s="2">
        <f>'As Received'!L45</f>
        <v/>
      </c>
      <c r="M45" s="2">
        <f>'As Received'!M45</f>
        <v/>
      </c>
      <c r="N45" s="2">
        <f>'As Received'!N45</f>
        <v/>
      </c>
      <c r="O45" s="3">
        <f>'As Received'!O45</f>
        <v/>
      </c>
      <c r="P45" s="3">
        <f>'As Received'!P45</f>
        <v/>
      </c>
      <c r="Q45" s="3">
        <f>'As Received'!Q45</f>
        <v/>
      </c>
      <c r="R45" s="2">
        <f>IF(K45="","",K45-(L45+M45+N45))</f>
        <v/>
      </c>
      <c r="S45" s="2">
        <f>IF(J45="","",K45-ROUND(0.8*J45,0))</f>
        <v/>
      </c>
    </row>
    <row r="46">
      <c r="A46" s="2">
        <f>'As Received'!A46</f>
        <v/>
      </c>
      <c r="B46" s="2">
        <f>'As Received'!B46</f>
        <v/>
      </c>
      <c r="C46" s="2">
        <f>'As Received'!C46</f>
        <v/>
      </c>
      <c r="D46" s="3">
        <f>'As Received'!D46</f>
        <v/>
      </c>
      <c r="E46" s="2">
        <f>'As Received'!E46</f>
        <v/>
      </c>
      <c r="F46" s="2">
        <f>'As Received'!F46</f>
        <v/>
      </c>
      <c r="G46" s="2">
        <f>'As Received'!G46</f>
        <v/>
      </c>
      <c r="H46" s="2">
        <f>'As Received'!H46</f>
        <v/>
      </c>
      <c r="I46" s="2">
        <f>'As Received'!I46</f>
        <v/>
      </c>
      <c r="J46" s="2">
        <f>'As Received'!J46</f>
        <v/>
      </c>
      <c r="K46" s="2">
        <f>'As Received'!K46</f>
        <v/>
      </c>
      <c r="L46" s="2">
        <f>'As Received'!L46</f>
        <v/>
      </c>
      <c r="M46" s="2">
        <f>'As Received'!M46</f>
        <v/>
      </c>
      <c r="N46" s="2">
        <f>'As Received'!N46</f>
        <v/>
      </c>
      <c r="O46" s="3">
        <f>'As Received'!O46</f>
        <v/>
      </c>
      <c r="P46" s="3">
        <f>'As Received'!P46</f>
        <v/>
      </c>
      <c r="Q46" s="3">
        <f>'As Received'!Q46</f>
        <v/>
      </c>
      <c r="R46" s="2">
        <f>IF(K46="","",K46-(L46+M46+N46))</f>
        <v/>
      </c>
      <c r="S46" s="2">
        <f>IF(J46="","",K46-ROUND(0.8*J46,0))</f>
        <v/>
      </c>
    </row>
    <row r="47">
      <c r="A47" s="2">
        <f>'As Received'!A47</f>
        <v/>
      </c>
      <c r="B47" s="2">
        <f>'As Received'!B47</f>
        <v/>
      </c>
      <c r="C47" s="2">
        <f>'As Received'!C47</f>
        <v/>
      </c>
      <c r="D47" s="3">
        <f>'As Received'!D47</f>
        <v/>
      </c>
      <c r="E47" s="2">
        <f>'As Received'!E47</f>
        <v/>
      </c>
      <c r="F47" s="2">
        <f>'As Received'!F47</f>
        <v/>
      </c>
      <c r="G47" s="2">
        <f>'As Received'!G47</f>
        <v/>
      </c>
      <c r="H47" s="2">
        <f>'As Received'!H47</f>
        <v/>
      </c>
      <c r="I47" s="2">
        <f>'As Received'!I47</f>
        <v/>
      </c>
      <c r="J47" s="2">
        <f>'As Received'!J47</f>
        <v/>
      </c>
      <c r="K47" s="2">
        <f>'As Received'!K47</f>
        <v/>
      </c>
      <c r="L47" s="2">
        <f>'As Received'!L47</f>
        <v/>
      </c>
      <c r="M47" s="2">
        <f>'As Received'!M47</f>
        <v/>
      </c>
      <c r="N47" s="2">
        <f>'As Received'!N47</f>
        <v/>
      </c>
      <c r="O47" s="3">
        <f>'As Received'!O47</f>
        <v/>
      </c>
      <c r="P47" s="3">
        <f>'As Received'!P47</f>
        <v/>
      </c>
      <c r="Q47" s="3">
        <f>'As Received'!Q47</f>
        <v/>
      </c>
      <c r="R47" s="2">
        <f>IF(K47="","",K47-(L47+M47+N47))</f>
        <v/>
      </c>
      <c r="S47" s="2">
        <f>IF(J47="","",K47-ROUND(0.8*J47,0))</f>
        <v/>
      </c>
    </row>
    <row r="48">
      <c r="A48" s="2">
        <f>'As Received'!A48</f>
        <v/>
      </c>
      <c r="B48" s="2">
        <f>'As Received'!B48</f>
        <v/>
      </c>
      <c r="C48" s="2">
        <f>'As Received'!C48</f>
        <v/>
      </c>
      <c r="D48" s="3">
        <f>'As Received'!D48</f>
        <v/>
      </c>
      <c r="E48" s="2">
        <f>'As Received'!E48</f>
        <v/>
      </c>
      <c r="F48" s="2">
        <f>'As Received'!F48</f>
        <v/>
      </c>
      <c r="G48" s="2">
        <f>'As Received'!G48</f>
        <v/>
      </c>
      <c r="H48" s="2">
        <f>'As Received'!H48</f>
        <v/>
      </c>
      <c r="I48" s="2">
        <f>'As Received'!I48</f>
        <v/>
      </c>
      <c r="J48" s="2">
        <f>'As Received'!J48</f>
        <v/>
      </c>
      <c r="K48" s="2">
        <f>'As Received'!K48</f>
        <v/>
      </c>
      <c r="L48" s="2">
        <f>'As Received'!L48</f>
        <v/>
      </c>
      <c r="M48" s="2">
        <f>'As Received'!M48</f>
        <v/>
      </c>
      <c r="N48" s="2">
        <f>'As Received'!N48</f>
        <v/>
      </c>
      <c r="O48" s="3">
        <f>'As Received'!O48</f>
        <v/>
      </c>
      <c r="P48" s="3">
        <f>'As Received'!P48</f>
        <v/>
      </c>
      <c r="Q48" s="3">
        <f>'As Received'!Q48</f>
        <v/>
      </c>
      <c r="R48" s="2">
        <f>IF(K48="","",K48-(L48+M48+N48))</f>
        <v/>
      </c>
      <c r="S48" s="2">
        <f>IF(J48="","",K48-ROUND(0.8*J48,0))</f>
        <v/>
      </c>
    </row>
    <row r="49">
      <c r="A49" s="2">
        <f>'As Received'!A49</f>
        <v/>
      </c>
      <c r="B49" s="2">
        <f>'As Received'!B49</f>
        <v/>
      </c>
      <c r="C49" s="2">
        <f>'As Received'!C49</f>
        <v/>
      </c>
      <c r="D49" s="3">
        <f>'As Received'!D49</f>
        <v/>
      </c>
      <c r="E49" s="2">
        <f>'As Received'!E49</f>
        <v/>
      </c>
      <c r="F49" s="2">
        <f>'As Received'!F49</f>
        <v/>
      </c>
      <c r="G49" s="2">
        <f>'As Received'!G49</f>
        <v/>
      </c>
      <c r="H49" s="2">
        <f>'As Received'!H49</f>
        <v/>
      </c>
      <c r="I49" s="2">
        <f>'As Received'!I49</f>
        <v/>
      </c>
      <c r="J49" s="2">
        <f>'As Received'!J49</f>
        <v/>
      </c>
      <c r="K49" s="2">
        <f>'As Received'!K49</f>
        <v/>
      </c>
      <c r="L49" s="2">
        <f>'As Received'!L49</f>
        <v/>
      </c>
      <c r="M49" s="2">
        <f>'As Received'!M49</f>
        <v/>
      </c>
      <c r="N49" s="2">
        <f>'As Received'!N49</f>
        <v/>
      </c>
      <c r="O49" s="3">
        <f>'As Received'!O49</f>
        <v/>
      </c>
      <c r="P49" s="3">
        <f>'As Received'!P49</f>
        <v/>
      </c>
      <c r="Q49" s="3">
        <f>'As Received'!Q49</f>
        <v/>
      </c>
      <c r="R49" s="2">
        <f>IF(K49="","",K49-(L49+M49+N49))</f>
        <v/>
      </c>
      <c r="S49" s="2">
        <f>IF(J49="","",K49-ROUND(0.8*J49,0))</f>
        <v/>
      </c>
    </row>
    <row r="50">
      <c r="A50" s="2">
        <f>'As Received'!A50</f>
        <v/>
      </c>
      <c r="B50" s="2">
        <f>'As Received'!B50</f>
        <v/>
      </c>
      <c r="C50" s="2">
        <f>'As Received'!C50</f>
        <v/>
      </c>
      <c r="D50" s="3">
        <f>'As Received'!D50</f>
        <v/>
      </c>
      <c r="E50" s="2">
        <f>'As Received'!E50</f>
        <v/>
      </c>
      <c r="F50" s="2">
        <f>'As Received'!F50</f>
        <v/>
      </c>
      <c r="G50" s="2">
        <f>'As Received'!G50</f>
        <v/>
      </c>
      <c r="H50" s="2">
        <f>'As Received'!H50</f>
        <v/>
      </c>
      <c r="I50" s="2">
        <f>'As Received'!I50</f>
        <v/>
      </c>
      <c r="J50" s="2">
        <f>'As Received'!J50</f>
        <v/>
      </c>
      <c r="K50" s="2">
        <f>'As Received'!K50</f>
        <v/>
      </c>
      <c r="L50" s="2">
        <f>'As Received'!L50</f>
        <v/>
      </c>
      <c r="M50" s="2">
        <f>'As Received'!M50</f>
        <v/>
      </c>
      <c r="N50" s="2">
        <f>'As Received'!N50</f>
        <v/>
      </c>
      <c r="O50" s="3">
        <f>'As Received'!O50</f>
        <v/>
      </c>
      <c r="P50" s="3">
        <f>'As Received'!P50</f>
        <v/>
      </c>
      <c r="Q50" s="3">
        <f>'As Received'!Q50</f>
        <v/>
      </c>
      <c r="R50" s="2">
        <f>IF(K50="","",K50-(L50+M50+N50))</f>
        <v/>
      </c>
      <c r="S50" s="2">
        <f>IF(J50="","",K50-ROUND(0.8*J50,0))</f>
        <v/>
      </c>
    </row>
    <row r="51">
      <c r="A51" s="2">
        <f>'As Received'!A51</f>
        <v/>
      </c>
      <c r="B51" s="2">
        <f>'As Received'!B51</f>
        <v/>
      </c>
      <c r="C51" s="2">
        <f>'As Received'!C51</f>
        <v/>
      </c>
      <c r="D51" s="3">
        <f>'As Received'!D51</f>
        <v/>
      </c>
      <c r="E51" s="2">
        <f>'As Received'!E51</f>
        <v/>
      </c>
      <c r="F51" s="2">
        <f>'As Received'!F51</f>
        <v/>
      </c>
      <c r="G51" s="2">
        <f>'As Received'!G51</f>
        <v/>
      </c>
      <c r="H51" s="2">
        <f>'As Received'!H51</f>
        <v/>
      </c>
      <c r="I51" s="2">
        <f>'As Received'!I51</f>
        <v/>
      </c>
      <c r="J51" s="2">
        <f>'As Received'!J51</f>
        <v/>
      </c>
      <c r="K51" s="2">
        <f>'As Received'!K51</f>
        <v/>
      </c>
      <c r="L51" s="2">
        <f>'As Received'!L51</f>
        <v/>
      </c>
      <c r="M51" s="2">
        <f>'As Received'!M51</f>
        <v/>
      </c>
      <c r="N51" s="2">
        <f>'As Received'!N51</f>
        <v/>
      </c>
      <c r="O51" s="3">
        <f>'As Received'!O51</f>
        <v/>
      </c>
      <c r="P51" s="3">
        <f>'As Received'!P51</f>
        <v/>
      </c>
      <c r="Q51" s="3">
        <f>'As Received'!Q51</f>
        <v/>
      </c>
      <c r="R51" s="2">
        <f>IF(K51="","",K51-(L51+M51+N51))</f>
        <v/>
      </c>
      <c r="S51" s="2">
        <f>IF(J51="","",K51-ROUND(0.8*J51,0))</f>
        <v/>
      </c>
    </row>
    <row r="52">
      <c r="A52" s="2">
        <f>'As Received'!A52</f>
        <v/>
      </c>
      <c r="B52" s="2">
        <f>'As Received'!B52</f>
        <v/>
      </c>
      <c r="C52" s="2">
        <f>'As Received'!C52</f>
        <v/>
      </c>
      <c r="D52" s="3">
        <f>'As Received'!D52</f>
        <v/>
      </c>
      <c r="E52" s="2">
        <f>'As Received'!E52</f>
        <v/>
      </c>
      <c r="F52" s="2">
        <f>'As Received'!F52</f>
        <v/>
      </c>
      <c r="G52" s="2">
        <f>'As Received'!G52</f>
        <v/>
      </c>
      <c r="H52" s="2">
        <f>'As Received'!H52</f>
        <v/>
      </c>
      <c r="I52" s="2">
        <f>'As Received'!I52</f>
        <v/>
      </c>
      <c r="J52" s="2">
        <f>'As Received'!J52</f>
        <v/>
      </c>
      <c r="K52" s="2">
        <f>'As Received'!K52</f>
        <v/>
      </c>
      <c r="L52" s="2">
        <f>'As Received'!L52</f>
        <v/>
      </c>
      <c r="M52" s="2">
        <f>'As Received'!M52</f>
        <v/>
      </c>
      <c r="N52" s="2">
        <f>'As Received'!N52</f>
        <v/>
      </c>
      <c r="O52" s="3">
        <f>'As Received'!O52</f>
        <v/>
      </c>
      <c r="P52" s="3">
        <f>'As Received'!P52</f>
        <v/>
      </c>
      <c r="Q52" s="3">
        <f>'As Received'!Q52</f>
        <v/>
      </c>
      <c r="R52" s="2">
        <f>IF(K52="","",K52-(L52+M52+N52))</f>
        <v/>
      </c>
      <c r="S52" s="2">
        <f>IF(J52="","",K52-ROUND(0.8*J52,0))</f>
        <v/>
      </c>
    </row>
    <row r="53">
      <c r="A53" s="2">
        <f>'As Received'!A53</f>
        <v/>
      </c>
      <c r="B53" s="2">
        <f>'As Received'!B53</f>
        <v/>
      </c>
      <c r="C53" s="2">
        <f>'As Received'!C53</f>
        <v/>
      </c>
      <c r="D53" s="3">
        <f>'As Received'!D53</f>
        <v/>
      </c>
      <c r="E53" s="2">
        <f>'As Received'!E53</f>
        <v/>
      </c>
      <c r="F53" s="2">
        <f>'As Received'!F53</f>
        <v/>
      </c>
      <c r="G53" s="2">
        <f>'As Received'!G53</f>
        <v/>
      </c>
      <c r="H53" s="2">
        <f>'As Received'!H53</f>
        <v/>
      </c>
      <c r="I53" s="2">
        <f>'As Received'!I53</f>
        <v/>
      </c>
      <c r="J53" s="2">
        <f>'As Received'!J53</f>
        <v/>
      </c>
      <c r="K53" s="2">
        <f>'As Received'!K53</f>
        <v/>
      </c>
      <c r="L53" s="2">
        <f>'As Received'!L53</f>
        <v/>
      </c>
      <c r="M53" s="2">
        <f>'As Received'!M53</f>
        <v/>
      </c>
      <c r="N53" s="2">
        <f>'As Received'!N53</f>
        <v/>
      </c>
      <c r="O53" s="3">
        <f>'As Received'!O53</f>
        <v/>
      </c>
      <c r="P53" s="3">
        <f>'As Received'!P53</f>
        <v/>
      </c>
      <c r="Q53" s="3">
        <f>'As Received'!Q53</f>
        <v/>
      </c>
      <c r="R53" s="2">
        <f>IF(K53="","",K53-(L53+M53+N53))</f>
        <v/>
      </c>
      <c r="S53" s="2">
        <f>IF(J53="","",K53-ROUND(0.8*J53,0))</f>
        <v/>
      </c>
    </row>
    <row r="54">
      <c r="A54" s="2">
        <f>'As Received'!A54</f>
        <v/>
      </c>
      <c r="B54" s="2">
        <f>'As Received'!B54</f>
        <v/>
      </c>
      <c r="C54" s="2">
        <f>'As Received'!C54</f>
        <v/>
      </c>
      <c r="D54" s="3">
        <f>'As Received'!D54</f>
        <v/>
      </c>
      <c r="E54" s="2">
        <f>'As Received'!E54</f>
        <v/>
      </c>
      <c r="F54" s="2">
        <f>'As Received'!F54</f>
        <v/>
      </c>
      <c r="G54" s="2">
        <f>'As Received'!G54</f>
        <v/>
      </c>
      <c r="H54" s="2">
        <f>'As Received'!H54</f>
        <v/>
      </c>
      <c r="I54" s="2">
        <f>'As Received'!I54</f>
        <v/>
      </c>
      <c r="J54" s="2">
        <f>'As Received'!J54</f>
        <v/>
      </c>
      <c r="K54" s="2">
        <f>'As Received'!K54</f>
        <v/>
      </c>
      <c r="L54" s="2">
        <f>'As Received'!L54</f>
        <v/>
      </c>
      <c r="M54" s="2">
        <f>'As Received'!M54</f>
        <v/>
      </c>
      <c r="N54" s="2">
        <f>'As Received'!N54</f>
        <v/>
      </c>
      <c r="O54" s="3">
        <f>'As Received'!O54</f>
        <v/>
      </c>
      <c r="P54" s="3">
        <f>'As Received'!P54</f>
        <v/>
      </c>
      <c r="Q54" s="3">
        <f>'As Received'!Q54</f>
        <v/>
      </c>
      <c r="R54" s="2">
        <f>IF(K54="","",K54-(L54+M54+N54))</f>
        <v/>
      </c>
      <c r="S54" s="2">
        <f>IF(J54="","",K54-ROUND(0.8*J54,0))</f>
        <v/>
      </c>
    </row>
    <row r="55">
      <c r="A55" s="2">
        <f>'As Received'!A55</f>
        <v/>
      </c>
      <c r="B55" s="2">
        <f>'As Received'!B55</f>
        <v/>
      </c>
      <c r="C55" s="2">
        <f>'As Received'!C55</f>
        <v/>
      </c>
      <c r="D55" s="3">
        <f>'As Received'!D55</f>
        <v/>
      </c>
      <c r="E55" s="2">
        <f>'As Received'!E55</f>
        <v/>
      </c>
      <c r="F55" s="2">
        <f>'As Received'!F55</f>
        <v/>
      </c>
      <c r="G55" s="2">
        <f>'As Received'!G55</f>
        <v/>
      </c>
      <c r="H55" s="2">
        <f>'As Received'!H55</f>
        <v/>
      </c>
      <c r="I55" s="2">
        <f>'As Received'!I55</f>
        <v/>
      </c>
      <c r="J55" s="2">
        <f>'As Received'!J55</f>
        <v/>
      </c>
      <c r="K55" s="2">
        <f>'As Received'!K55</f>
        <v/>
      </c>
      <c r="L55" s="2">
        <f>'As Received'!L55</f>
        <v/>
      </c>
      <c r="M55" s="2">
        <f>'As Received'!M55</f>
        <v/>
      </c>
      <c r="N55" s="2">
        <f>'As Received'!N55</f>
        <v/>
      </c>
      <c r="O55" s="3">
        <f>'As Received'!O55</f>
        <v/>
      </c>
      <c r="P55" s="3">
        <f>'As Received'!P55</f>
        <v/>
      </c>
      <c r="Q55" s="3">
        <f>'As Received'!Q55</f>
        <v/>
      </c>
      <c r="R55" s="2">
        <f>IF(K55="","",K55-(L55+M55+N55))</f>
        <v/>
      </c>
      <c r="S55" s="2">
        <f>IF(J55="","",K55-ROUND(0.8*J55,0))</f>
        <v/>
      </c>
    </row>
    <row r="56">
      <c r="A56" s="2">
        <f>'As Received'!A56</f>
        <v/>
      </c>
      <c r="B56" s="2">
        <f>'As Received'!B56</f>
        <v/>
      </c>
      <c r="C56" s="2">
        <f>'As Received'!C56</f>
        <v/>
      </c>
      <c r="D56" s="3">
        <f>'As Received'!D56</f>
        <v/>
      </c>
      <c r="E56" s="2">
        <f>'As Received'!E56</f>
        <v/>
      </c>
      <c r="F56" s="2">
        <f>'As Received'!F56</f>
        <v/>
      </c>
      <c r="G56" s="2">
        <f>'As Received'!G56</f>
        <v/>
      </c>
      <c r="H56" s="2">
        <f>'As Received'!H56</f>
        <v/>
      </c>
      <c r="I56" s="2">
        <f>'As Received'!I56</f>
        <v/>
      </c>
      <c r="J56" s="2">
        <f>'As Received'!J56</f>
        <v/>
      </c>
      <c r="K56" s="2">
        <f>'As Received'!K56</f>
        <v/>
      </c>
      <c r="L56" s="2">
        <f>'As Received'!L56</f>
        <v/>
      </c>
      <c r="M56" s="2">
        <f>'As Received'!M56</f>
        <v/>
      </c>
      <c r="N56" s="2">
        <f>'As Received'!N56</f>
        <v/>
      </c>
      <c r="O56" s="3">
        <f>'As Received'!O56</f>
        <v/>
      </c>
      <c r="P56" s="3">
        <f>'As Received'!P56</f>
        <v/>
      </c>
      <c r="Q56" s="3">
        <f>'As Received'!Q56</f>
        <v/>
      </c>
      <c r="R56" s="2">
        <f>IF(K56="","",K56-(L56+M56+N56))</f>
        <v/>
      </c>
      <c r="S56" s="2">
        <f>IF(J56="","",K56-ROUND(0.8*J56,0))</f>
        <v/>
      </c>
    </row>
    <row r="57">
      <c r="A57" s="2">
        <f>'As Received'!A57</f>
        <v/>
      </c>
      <c r="B57" s="2">
        <f>'As Received'!B57</f>
        <v/>
      </c>
      <c r="C57" s="2">
        <f>'As Received'!C57</f>
        <v/>
      </c>
      <c r="D57" s="3">
        <f>'As Received'!D57</f>
        <v/>
      </c>
      <c r="E57" s="2">
        <f>'As Received'!E57</f>
        <v/>
      </c>
      <c r="F57" s="2">
        <f>'As Received'!F57</f>
        <v/>
      </c>
      <c r="G57" s="2">
        <f>'As Received'!G57</f>
        <v/>
      </c>
      <c r="H57" s="2">
        <f>'As Received'!H57</f>
        <v/>
      </c>
      <c r="I57" s="2">
        <f>'As Received'!I57</f>
        <v/>
      </c>
      <c r="J57" s="2">
        <f>'As Received'!J57</f>
        <v/>
      </c>
      <c r="K57" s="2">
        <f>'As Received'!K57</f>
        <v/>
      </c>
      <c r="L57" s="2">
        <f>'As Received'!L57</f>
        <v/>
      </c>
      <c r="M57" s="2">
        <f>'As Received'!M57</f>
        <v/>
      </c>
      <c r="N57" s="2">
        <f>'As Received'!N57</f>
        <v/>
      </c>
      <c r="O57" s="3">
        <f>'As Received'!O57</f>
        <v/>
      </c>
      <c r="P57" s="3">
        <f>'As Received'!P57</f>
        <v/>
      </c>
      <c r="Q57" s="3">
        <f>'As Received'!Q57</f>
        <v/>
      </c>
      <c r="R57" s="2">
        <f>IF(K57="","",K57-(L57+M57+N57))</f>
        <v/>
      </c>
      <c r="S57" s="2">
        <f>IF(J57="","",K57-ROUND(0.8*J57,0))</f>
        <v/>
      </c>
    </row>
    <row r="58">
      <c r="A58" s="2">
        <f>'As Received'!A58</f>
        <v/>
      </c>
      <c r="B58" s="2">
        <f>'As Received'!B58</f>
        <v/>
      </c>
      <c r="C58" s="2">
        <f>'As Received'!C58</f>
        <v/>
      </c>
      <c r="D58" s="3">
        <f>'As Received'!D58</f>
        <v/>
      </c>
      <c r="E58" s="2">
        <f>'As Received'!E58</f>
        <v/>
      </c>
      <c r="F58" s="2">
        <f>'As Received'!F58</f>
        <v/>
      </c>
      <c r="G58" s="2">
        <f>'As Received'!G58</f>
        <v/>
      </c>
      <c r="H58" s="2">
        <f>'As Received'!H58</f>
        <v/>
      </c>
      <c r="I58" s="2">
        <f>'As Received'!I58</f>
        <v/>
      </c>
      <c r="J58" s="2">
        <f>'As Received'!J58</f>
        <v/>
      </c>
      <c r="K58" s="2">
        <f>'As Received'!K58</f>
        <v/>
      </c>
      <c r="L58" s="2">
        <f>'As Received'!L58</f>
        <v/>
      </c>
      <c r="M58" s="2">
        <f>'As Received'!M58</f>
        <v/>
      </c>
      <c r="N58" s="2">
        <f>'As Received'!N58</f>
        <v/>
      </c>
      <c r="O58" s="3">
        <f>'As Received'!O58</f>
        <v/>
      </c>
      <c r="P58" s="3">
        <f>'As Received'!P58</f>
        <v/>
      </c>
      <c r="Q58" s="3">
        <f>'As Received'!Q58</f>
        <v/>
      </c>
      <c r="R58" s="2">
        <f>IF(K58="","",K58-(L58+M58+N58))</f>
        <v/>
      </c>
      <c r="S58" s="2">
        <f>IF(J58="","",K58-ROUND(0.8*J58,0))</f>
        <v/>
      </c>
    </row>
    <row r="59">
      <c r="A59" s="2">
        <f>'As Received'!A59</f>
        <v/>
      </c>
      <c r="B59" s="2">
        <f>'As Received'!B59</f>
        <v/>
      </c>
      <c r="C59" s="2">
        <f>'As Received'!C59</f>
        <v/>
      </c>
      <c r="D59" s="3">
        <f>'As Received'!D59</f>
        <v/>
      </c>
      <c r="E59" s="2">
        <f>'As Received'!E59</f>
        <v/>
      </c>
      <c r="F59" s="2">
        <f>'As Received'!F59</f>
        <v/>
      </c>
      <c r="G59" s="2">
        <f>'As Received'!G59</f>
        <v/>
      </c>
      <c r="H59" s="2">
        <f>'As Received'!H59</f>
        <v/>
      </c>
      <c r="I59" s="2">
        <f>'As Received'!I59</f>
        <v/>
      </c>
      <c r="J59" s="2">
        <f>'As Received'!J59</f>
        <v/>
      </c>
      <c r="K59" s="2">
        <f>'As Received'!K59</f>
        <v/>
      </c>
      <c r="L59" s="2">
        <f>'As Received'!L59</f>
        <v/>
      </c>
      <c r="M59" s="2">
        <f>'As Received'!M59</f>
        <v/>
      </c>
      <c r="N59" s="2">
        <f>'As Received'!N59</f>
        <v/>
      </c>
      <c r="O59" s="3">
        <f>'As Received'!O59</f>
        <v/>
      </c>
      <c r="P59" s="3">
        <f>'As Received'!P59</f>
        <v/>
      </c>
      <c r="Q59" s="3">
        <f>'As Received'!Q59</f>
        <v/>
      </c>
      <c r="R59" s="2">
        <f>IF(K59="","",K59-(L59+M59+N59))</f>
        <v/>
      </c>
      <c r="S59" s="2">
        <f>IF(J59="","",K59-ROUND(0.8*J59,0))</f>
        <v/>
      </c>
    </row>
    <row r="60">
      <c r="A60" s="2">
        <f>'As Received'!A60</f>
        <v/>
      </c>
      <c r="B60" s="2">
        <f>'As Received'!B60</f>
        <v/>
      </c>
      <c r="C60" s="2">
        <f>'As Received'!C60</f>
        <v/>
      </c>
      <c r="D60" s="3">
        <f>'As Received'!D60</f>
        <v/>
      </c>
      <c r="E60" s="2">
        <f>'As Received'!E60</f>
        <v/>
      </c>
      <c r="F60" s="2">
        <f>'As Received'!F60</f>
        <v/>
      </c>
      <c r="G60" s="2">
        <f>'As Received'!G60</f>
        <v/>
      </c>
      <c r="H60" s="2">
        <f>'As Received'!H60</f>
        <v/>
      </c>
      <c r="I60" s="2">
        <f>'As Received'!I60</f>
        <v/>
      </c>
      <c r="J60" s="2">
        <f>'As Received'!J60</f>
        <v/>
      </c>
      <c r="K60" s="2">
        <f>'As Received'!K60</f>
        <v/>
      </c>
      <c r="L60" s="2">
        <f>'As Received'!L60</f>
        <v/>
      </c>
      <c r="M60" s="2">
        <f>'As Received'!M60</f>
        <v/>
      </c>
      <c r="N60" s="2">
        <f>'As Received'!N60</f>
        <v/>
      </c>
      <c r="O60" s="3">
        <f>'As Received'!O60</f>
        <v/>
      </c>
      <c r="P60" s="3">
        <f>'As Received'!P60</f>
        <v/>
      </c>
      <c r="Q60" s="3">
        <f>'As Received'!Q60</f>
        <v/>
      </c>
      <c r="R60" s="2">
        <f>IF(K60="","",K60-(L60+M60+N60))</f>
        <v/>
      </c>
      <c r="S60" s="2">
        <f>IF(J60="","",K60-ROUND(0.8*J60,0))</f>
        <v/>
      </c>
    </row>
    <row r="61">
      <c r="A61" s="2">
        <f>'As Received'!A61</f>
        <v/>
      </c>
      <c r="B61" s="2">
        <f>'As Received'!B61</f>
        <v/>
      </c>
      <c r="C61" s="2">
        <f>'As Received'!C61</f>
        <v/>
      </c>
      <c r="D61" s="3">
        <f>'As Received'!D61</f>
        <v/>
      </c>
      <c r="E61" s="2">
        <f>'As Received'!E61</f>
        <v/>
      </c>
      <c r="F61" s="2">
        <f>'As Received'!F61</f>
        <v/>
      </c>
      <c r="G61" s="2">
        <f>'As Received'!G61</f>
        <v/>
      </c>
      <c r="H61" s="2">
        <f>'As Received'!H61</f>
        <v/>
      </c>
      <c r="I61" s="2">
        <f>'As Received'!I61</f>
        <v/>
      </c>
      <c r="J61" s="2">
        <f>'As Received'!J61</f>
        <v/>
      </c>
      <c r="K61" s="2">
        <f>'As Received'!K61</f>
        <v/>
      </c>
      <c r="L61" s="2">
        <f>'As Received'!L61</f>
        <v/>
      </c>
      <c r="M61" s="2">
        <f>'As Received'!M61</f>
        <v/>
      </c>
      <c r="N61" s="2">
        <f>'As Received'!N61</f>
        <v/>
      </c>
      <c r="O61" s="3">
        <f>'As Received'!O61</f>
        <v/>
      </c>
      <c r="P61" s="3">
        <f>'As Received'!P61</f>
        <v/>
      </c>
      <c r="Q61" s="3">
        <f>'As Received'!Q61</f>
        <v/>
      </c>
      <c r="R61" s="2">
        <f>IF(K61="","",K61-(L61+M61+N61))</f>
        <v/>
      </c>
      <c r="S61" s="2">
        <f>IF(J61="","",K61-ROUND(0.8*J61,0))</f>
        <v/>
      </c>
    </row>
    <row r="62">
      <c r="A62" s="2">
        <f>'As Received'!A62</f>
        <v/>
      </c>
      <c r="B62" s="2">
        <f>'As Received'!B62</f>
        <v/>
      </c>
      <c r="C62" s="2">
        <f>'As Received'!C62</f>
        <v/>
      </c>
      <c r="D62" s="3">
        <f>'As Received'!D62</f>
        <v/>
      </c>
      <c r="E62" s="2">
        <f>'As Received'!E62</f>
        <v/>
      </c>
      <c r="F62" s="2">
        <f>'As Received'!F62</f>
        <v/>
      </c>
      <c r="G62" s="2">
        <f>'As Received'!G62</f>
        <v/>
      </c>
      <c r="H62" s="2">
        <f>'As Received'!H62</f>
        <v/>
      </c>
      <c r="I62" s="2">
        <f>'As Received'!I62</f>
        <v/>
      </c>
      <c r="J62" s="2">
        <f>'As Received'!J62</f>
        <v/>
      </c>
      <c r="K62" s="2">
        <f>'As Received'!K62</f>
        <v/>
      </c>
      <c r="L62" s="2">
        <f>'As Received'!L62</f>
        <v/>
      </c>
      <c r="M62" s="2">
        <f>'As Received'!M62</f>
        <v/>
      </c>
      <c r="N62" s="2">
        <f>'As Received'!N62</f>
        <v/>
      </c>
      <c r="O62" s="3">
        <f>'As Received'!O62</f>
        <v/>
      </c>
      <c r="P62" s="3">
        <f>'As Received'!P62</f>
        <v/>
      </c>
      <c r="Q62" s="3">
        <f>'As Received'!Q62</f>
        <v/>
      </c>
      <c r="R62" s="2">
        <f>IF(K62="","",K62-(L62+M62+N62))</f>
        <v/>
      </c>
      <c r="S62" s="2">
        <f>IF(J62="","",K62-ROUND(0.8*J62,0))</f>
        <v/>
      </c>
    </row>
    <row r="63">
      <c r="A63" s="2">
        <f>'As Received'!A63</f>
        <v/>
      </c>
      <c r="B63" s="2">
        <f>'As Received'!B63</f>
        <v/>
      </c>
      <c r="C63" s="2">
        <f>'As Received'!C63</f>
        <v/>
      </c>
      <c r="D63" s="3">
        <f>'As Received'!D63</f>
        <v/>
      </c>
      <c r="E63" s="2">
        <f>'As Received'!E63</f>
        <v/>
      </c>
      <c r="F63" s="2">
        <f>'As Received'!F63</f>
        <v/>
      </c>
      <c r="G63" s="2">
        <f>'As Received'!G63</f>
        <v/>
      </c>
      <c r="H63" s="2">
        <f>'As Received'!H63</f>
        <v/>
      </c>
      <c r="I63" s="2">
        <f>'As Received'!I63</f>
        <v/>
      </c>
      <c r="J63" s="2">
        <f>'As Received'!J63</f>
        <v/>
      </c>
      <c r="K63" s="2">
        <f>'As Received'!K63</f>
        <v/>
      </c>
      <c r="L63" s="2">
        <f>'As Received'!L63</f>
        <v/>
      </c>
      <c r="M63" s="2">
        <f>'As Received'!M63</f>
        <v/>
      </c>
      <c r="N63" s="2">
        <f>'As Received'!N63</f>
        <v/>
      </c>
      <c r="O63" s="3">
        <f>'As Received'!O63</f>
        <v/>
      </c>
      <c r="P63" s="3">
        <f>'As Received'!P63</f>
        <v/>
      </c>
      <c r="Q63" s="3">
        <f>'As Received'!Q63</f>
        <v/>
      </c>
      <c r="R63" s="2">
        <f>IF(K63="","",K63-(L63+M63+N63))</f>
        <v/>
      </c>
      <c r="S63" s="2">
        <f>IF(J63="","",K63-ROUND(0.8*J63,0))</f>
        <v/>
      </c>
    </row>
    <row r="64">
      <c r="A64" s="2">
        <f>'As Received'!A64</f>
        <v/>
      </c>
      <c r="B64" s="2">
        <f>'As Received'!B64</f>
        <v/>
      </c>
      <c r="C64" s="2">
        <f>'As Received'!C64</f>
        <v/>
      </c>
      <c r="D64" s="3">
        <f>'As Received'!D64</f>
        <v/>
      </c>
      <c r="E64" s="2">
        <f>'As Received'!E64</f>
        <v/>
      </c>
      <c r="F64" s="2">
        <f>'As Received'!F64</f>
        <v/>
      </c>
      <c r="G64" s="2">
        <f>'As Received'!G64</f>
        <v/>
      </c>
      <c r="H64" s="2">
        <f>'As Received'!H64</f>
        <v/>
      </c>
      <c r="I64" s="2">
        <f>'As Received'!I64</f>
        <v/>
      </c>
      <c r="J64" s="2">
        <f>'As Received'!J64</f>
        <v/>
      </c>
      <c r="K64" s="2">
        <f>'As Received'!K64</f>
        <v/>
      </c>
      <c r="L64" s="2">
        <f>'As Received'!L64</f>
        <v/>
      </c>
      <c r="M64" s="2">
        <f>'As Received'!M64</f>
        <v/>
      </c>
      <c r="N64" s="2">
        <f>'As Received'!N64</f>
        <v/>
      </c>
      <c r="O64" s="3">
        <f>'As Received'!O64</f>
        <v/>
      </c>
      <c r="P64" s="3">
        <f>'As Received'!P64</f>
        <v/>
      </c>
      <c r="Q64" s="3">
        <f>'As Received'!Q64</f>
        <v/>
      </c>
      <c r="R64" s="2">
        <f>IF(K64="","",K64-(L64+M64+N64))</f>
        <v/>
      </c>
      <c r="S64" s="2">
        <f>IF(J64="","",K64-ROUND(0.8*J64,0))</f>
        <v/>
      </c>
    </row>
    <row r="65">
      <c r="A65" s="2">
        <f>'As Received'!A65</f>
        <v/>
      </c>
      <c r="B65" s="2">
        <f>'As Received'!B65</f>
        <v/>
      </c>
      <c r="C65" s="2">
        <f>'As Received'!C65</f>
        <v/>
      </c>
      <c r="D65" s="3">
        <f>'As Received'!D65</f>
        <v/>
      </c>
      <c r="E65" s="2">
        <f>'As Received'!E65</f>
        <v/>
      </c>
      <c r="F65" s="2">
        <f>'As Received'!F65</f>
        <v/>
      </c>
      <c r="G65" s="2">
        <f>'As Received'!G65</f>
        <v/>
      </c>
      <c r="H65" s="2">
        <f>'As Received'!H65</f>
        <v/>
      </c>
      <c r="I65" s="2">
        <f>'As Received'!I65</f>
        <v/>
      </c>
      <c r="J65" s="2">
        <f>'As Received'!J65</f>
        <v/>
      </c>
      <c r="K65" s="2">
        <f>'As Received'!K65</f>
        <v/>
      </c>
      <c r="L65" s="2">
        <f>'As Received'!L65</f>
        <v/>
      </c>
      <c r="M65" s="2">
        <f>'As Received'!M65</f>
        <v/>
      </c>
      <c r="N65" s="2">
        <f>'As Received'!N65</f>
        <v/>
      </c>
      <c r="O65" s="3">
        <f>'As Received'!O65</f>
        <v/>
      </c>
      <c r="P65" s="3">
        <f>'As Received'!P65</f>
        <v/>
      </c>
      <c r="Q65" s="3">
        <f>'As Received'!Q65</f>
        <v/>
      </c>
      <c r="R65" s="2">
        <f>IF(K65="","",K65-(L65+M65+N65))</f>
        <v/>
      </c>
      <c r="S65" s="2">
        <f>IF(J65="","",K65-ROUND(0.8*J65,0))</f>
        <v/>
      </c>
    </row>
    <row r="66">
      <c r="A66" s="2">
        <f>'As Received'!A66</f>
        <v/>
      </c>
      <c r="B66" s="2">
        <f>'As Received'!B66</f>
        <v/>
      </c>
      <c r="C66" s="2">
        <f>'As Received'!C66</f>
        <v/>
      </c>
      <c r="D66" s="3">
        <f>'As Received'!D66</f>
        <v/>
      </c>
      <c r="E66" s="2">
        <f>'As Received'!E66</f>
        <v/>
      </c>
      <c r="F66" s="2">
        <f>'As Received'!F66</f>
        <v/>
      </c>
      <c r="G66" s="2">
        <f>'As Received'!G66</f>
        <v/>
      </c>
      <c r="H66" s="2">
        <f>'As Received'!H66</f>
        <v/>
      </c>
      <c r="I66" s="2">
        <f>'As Received'!I66</f>
        <v/>
      </c>
      <c r="J66" s="2">
        <f>'As Received'!J66</f>
        <v/>
      </c>
      <c r="K66" s="2">
        <f>'As Received'!K66</f>
        <v/>
      </c>
      <c r="L66" s="2">
        <f>'As Received'!L66</f>
        <v/>
      </c>
      <c r="M66" s="2">
        <f>'As Received'!M66</f>
        <v/>
      </c>
      <c r="N66" s="2">
        <f>'As Received'!N66</f>
        <v/>
      </c>
      <c r="O66" s="3">
        <f>'As Received'!O66</f>
        <v/>
      </c>
      <c r="P66" s="3">
        <f>'As Received'!P66</f>
        <v/>
      </c>
      <c r="Q66" s="3">
        <f>'As Received'!Q66</f>
        <v/>
      </c>
      <c r="R66" s="2">
        <f>IF(K66="","",K66-(L66+M66+N66))</f>
        <v/>
      </c>
      <c r="S66" s="2">
        <f>IF(J66="","",K66-ROUND(0.8*J66,0))</f>
        <v/>
      </c>
    </row>
    <row r="67">
      <c r="A67" s="2">
        <f>'As Received'!A67</f>
        <v/>
      </c>
      <c r="B67" s="2">
        <f>'As Received'!B67</f>
        <v/>
      </c>
      <c r="C67" s="2">
        <f>'As Received'!C67</f>
        <v/>
      </c>
      <c r="D67" s="3">
        <f>'As Received'!D67</f>
        <v/>
      </c>
      <c r="E67" s="2">
        <f>'As Received'!E67</f>
        <v/>
      </c>
      <c r="F67" s="2">
        <f>'As Received'!F67</f>
        <v/>
      </c>
      <c r="G67" s="2">
        <f>'As Received'!G67</f>
        <v/>
      </c>
      <c r="H67" s="2">
        <f>'As Received'!H67</f>
        <v/>
      </c>
      <c r="I67" s="2">
        <f>'As Received'!I67</f>
        <v/>
      </c>
      <c r="J67" s="2">
        <f>'As Received'!J67</f>
        <v/>
      </c>
      <c r="K67" s="2">
        <f>'As Received'!K67</f>
        <v/>
      </c>
      <c r="L67" s="2">
        <f>'As Received'!L67</f>
        <v/>
      </c>
      <c r="M67" s="2">
        <f>'As Received'!M67</f>
        <v/>
      </c>
      <c r="N67" s="2">
        <f>'As Received'!N67</f>
        <v/>
      </c>
      <c r="O67" s="3">
        <f>'As Received'!O67</f>
        <v/>
      </c>
      <c r="P67" s="3">
        <f>'As Received'!P67</f>
        <v/>
      </c>
      <c r="Q67" s="3">
        <f>'As Received'!Q67</f>
        <v/>
      </c>
      <c r="R67" s="2">
        <f>IF(K67="","",K67-(L67+M67+N67))</f>
        <v/>
      </c>
      <c r="S67" s="2">
        <f>IF(J67="","",K67-ROUND(0.8*J67,0))</f>
        <v/>
      </c>
    </row>
    <row r="68">
      <c r="A68" s="2">
        <f>'As Received'!A68</f>
        <v/>
      </c>
      <c r="B68" s="2">
        <f>'As Received'!B68</f>
        <v/>
      </c>
      <c r="C68" s="2">
        <f>'As Received'!C68</f>
        <v/>
      </c>
      <c r="D68" s="3">
        <f>'As Received'!D68</f>
        <v/>
      </c>
      <c r="E68" s="2">
        <f>'As Received'!E68</f>
        <v/>
      </c>
      <c r="F68" s="2">
        <f>'As Received'!F68</f>
        <v/>
      </c>
      <c r="G68" s="2">
        <f>'As Received'!G68</f>
        <v/>
      </c>
      <c r="H68" s="2">
        <f>'As Received'!H68</f>
        <v/>
      </c>
      <c r="I68" s="2">
        <f>'As Received'!I68</f>
        <v/>
      </c>
      <c r="J68" s="2">
        <f>'As Received'!J68</f>
        <v/>
      </c>
      <c r="K68" s="2">
        <f>'As Received'!K68</f>
        <v/>
      </c>
      <c r="L68" s="2">
        <f>'As Received'!L68</f>
        <v/>
      </c>
      <c r="M68" s="2">
        <f>'As Received'!M68</f>
        <v/>
      </c>
      <c r="N68" s="2">
        <f>'As Received'!N68</f>
        <v/>
      </c>
      <c r="O68" s="3">
        <f>'As Received'!O68</f>
        <v/>
      </c>
      <c r="P68" s="3">
        <f>'As Received'!P68</f>
        <v/>
      </c>
      <c r="Q68" s="3">
        <f>'As Received'!Q68</f>
        <v/>
      </c>
      <c r="R68" s="2">
        <f>IF(K68="","",K68-(L68+M68+N68))</f>
        <v/>
      </c>
      <c r="S68" s="2">
        <f>IF(J68="","",K68-ROUND(0.8*J68,0))</f>
        <v/>
      </c>
    </row>
    <row r="69">
      <c r="A69" s="2">
        <f>'As Received'!A69</f>
        <v/>
      </c>
      <c r="B69" s="2">
        <f>'As Received'!B69</f>
        <v/>
      </c>
      <c r="C69" s="2">
        <f>'As Received'!C69</f>
        <v/>
      </c>
      <c r="D69" s="3">
        <f>'As Received'!D69</f>
        <v/>
      </c>
      <c r="E69" s="2">
        <f>'As Received'!E69</f>
        <v/>
      </c>
      <c r="F69" s="2">
        <f>'As Received'!F69</f>
        <v/>
      </c>
      <c r="G69" s="2">
        <f>'As Received'!G69</f>
        <v/>
      </c>
      <c r="H69" s="2">
        <f>'As Received'!H69</f>
        <v/>
      </c>
      <c r="I69" s="2">
        <f>'As Received'!I69</f>
        <v/>
      </c>
      <c r="J69" s="2">
        <f>'As Received'!J69</f>
        <v/>
      </c>
      <c r="K69" s="2">
        <f>'As Received'!K69</f>
        <v/>
      </c>
      <c r="L69" s="2">
        <f>'As Received'!L69</f>
        <v/>
      </c>
      <c r="M69" s="2">
        <f>'As Received'!M69</f>
        <v/>
      </c>
      <c r="N69" s="2">
        <f>'As Received'!N69</f>
        <v/>
      </c>
      <c r="O69" s="3">
        <f>'As Received'!O69</f>
        <v/>
      </c>
      <c r="P69" s="3">
        <f>'As Received'!P69</f>
        <v/>
      </c>
      <c r="Q69" s="3">
        <f>'As Received'!Q69</f>
        <v/>
      </c>
      <c r="R69" s="2">
        <f>IF(K69="","",K69-(L69+M69+N69))</f>
        <v/>
      </c>
      <c r="S69" s="2">
        <f>IF(J69="","",K69-ROUND(0.8*J69,0))</f>
        <v/>
      </c>
    </row>
    <row r="70">
      <c r="A70" s="2">
        <f>'As Received'!A70</f>
        <v/>
      </c>
      <c r="B70" s="2">
        <f>'As Received'!B70</f>
        <v/>
      </c>
      <c r="C70" s="2">
        <f>'As Received'!C70</f>
        <v/>
      </c>
      <c r="D70" s="3">
        <f>'As Received'!D70</f>
        <v/>
      </c>
      <c r="E70" s="2">
        <f>'As Received'!E70</f>
        <v/>
      </c>
      <c r="F70" s="2">
        <f>'As Received'!F70</f>
        <v/>
      </c>
      <c r="G70" s="2">
        <f>'As Received'!G70</f>
        <v/>
      </c>
      <c r="H70" s="2">
        <f>'As Received'!H70</f>
        <v/>
      </c>
      <c r="I70" s="2">
        <f>'As Received'!I70</f>
        <v/>
      </c>
      <c r="J70" s="2">
        <f>'As Received'!J70</f>
        <v/>
      </c>
      <c r="K70" s="2">
        <f>'As Received'!K70</f>
        <v/>
      </c>
      <c r="L70" s="2">
        <f>'As Received'!L70</f>
        <v/>
      </c>
      <c r="M70" s="2">
        <f>'As Received'!M70</f>
        <v/>
      </c>
      <c r="N70" s="2">
        <f>'As Received'!N70</f>
        <v/>
      </c>
      <c r="O70" s="3">
        <f>'As Received'!O70</f>
        <v/>
      </c>
      <c r="P70" s="3">
        <f>'As Received'!P70</f>
        <v/>
      </c>
      <c r="Q70" s="3">
        <f>'As Received'!Q70</f>
        <v/>
      </c>
      <c r="R70" s="2">
        <f>IF(K70="","",K70-(L70+M70+N70))</f>
        <v/>
      </c>
      <c r="S70" s="2">
        <f>IF(J70="","",K70-ROUND(0.8*J70,0))</f>
        <v/>
      </c>
    </row>
    <row r="71">
      <c r="A71" s="2">
        <f>'As Received'!A71</f>
        <v/>
      </c>
      <c r="B71" s="2">
        <f>'As Received'!B71</f>
        <v/>
      </c>
      <c r="C71" s="2">
        <f>'As Received'!C71</f>
        <v/>
      </c>
      <c r="D71" s="3">
        <f>'As Received'!D71</f>
        <v/>
      </c>
      <c r="E71" s="2">
        <f>'As Received'!E71</f>
        <v/>
      </c>
      <c r="F71" s="2">
        <f>'As Received'!F71</f>
        <v/>
      </c>
      <c r="G71" s="2">
        <f>'As Received'!G71</f>
        <v/>
      </c>
      <c r="H71" s="2">
        <f>'As Received'!H71</f>
        <v/>
      </c>
      <c r="I71" s="2">
        <f>'As Received'!I71</f>
        <v/>
      </c>
      <c r="J71" s="2">
        <f>'As Received'!J71</f>
        <v/>
      </c>
      <c r="K71" s="2">
        <f>'As Received'!K71</f>
        <v/>
      </c>
      <c r="L71" s="2">
        <f>'As Received'!L71</f>
        <v/>
      </c>
      <c r="M71" s="2">
        <f>'As Received'!M71</f>
        <v/>
      </c>
      <c r="N71" s="2">
        <f>'As Received'!N71</f>
        <v/>
      </c>
      <c r="O71" s="3">
        <f>'As Received'!O71</f>
        <v/>
      </c>
      <c r="P71" s="3">
        <f>'As Received'!P71</f>
        <v/>
      </c>
      <c r="Q71" s="3">
        <f>'As Received'!Q71</f>
        <v/>
      </c>
      <c r="R71" s="2">
        <f>IF(K71="","",K71-(L71+M71+N71))</f>
        <v/>
      </c>
      <c r="S71" s="2">
        <f>IF(J71="","",K71-ROUND(0.8*J71,0))</f>
        <v/>
      </c>
    </row>
    <row r="72">
      <c r="A72" s="2">
        <f>'As Received'!A72</f>
        <v/>
      </c>
      <c r="B72" s="2">
        <f>'As Received'!B72</f>
        <v/>
      </c>
      <c r="C72" s="2">
        <f>'As Received'!C72</f>
        <v/>
      </c>
      <c r="D72" s="3">
        <f>'As Received'!D72</f>
        <v/>
      </c>
      <c r="E72" s="2">
        <f>'As Received'!E72</f>
        <v/>
      </c>
      <c r="F72" s="2">
        <f>'As Received'!F72</f>
        <v/>
      </c>
      <c r="G72" s="2">
        <f>'As Received'!G72</f>
        <v/>
      </c>
      <c r="H72" s="2">
        <f>'As Received'!H72</f>
        <v/>
      </c>
      <c r="I72" s="2">
        <f>'As Received'!I72</f>
        <v/>
      </c>
      <c r="J72" s="2">
        <f>'As Received'!J72</f>
        <v/>
      </c>
      <c r="K72" s="2">
        <f>'As Received'!K72</f>
        <v/>
      </c>
      <c r="L72" s="2">
        <f>'As Received'!L72</f>
        <v/>
      </c>
      <c r="M72" s="2">
        <f>'As Received'!M72</f>
        <v/>
      </c>
      <c r="N72" s="2">
        <f>'As Received'!N72</f>
        <v/>
      </c>
      <c r="O72" s="3">
        <f>'As Received'!O72</f>
        <v/>
      </c>
      <c r="P72" s="3">
        <f>'As Received'!P72</f>
        <v/>
      </c>
      <c r="Q72" s="3">
        <f>'As Received'!Q72</f>
        <v/>
      </c>
      <c r="R72" s="2">
        <f>IF(K72="","",K72-(L72+M72+N72))</f>
        <v/>
      </c>
      <c r="S72" s="2">
        <f>IF(J72="","",K72-ROUND(0.8*J72,0))</f>
        <v/>
      </c>
    </row>
    <row r="73">
      <c r="A73" s="2">
        <f>'As Received'!A73</f>
        <v/>
      </c>
      <c r="B73" s="2">
        <f>'As Received'!B73</f>
        <v/>
      </c>
      <c r="C73" s="2">
        <f>'As Received'!C73</f>
        <v/>
      </c>
      <c r="D73" s="3">
        <f>'As Received'!D73</f>
        <v/>
      </c>
      <c r="E73" s="2">
        <f>'As Received'!E73</f>
        <v/>
      </c>
      <c r="F73" s="2">
        <f>'As Received'!F73</f>
        <v/>
      </c>
      <c r="G73" s="2">
        <f>'As Received'!G73</f>
        <v/>
      </c>
      <c r="H73" s="2">
        <f>'As Received'!H73</f>
        <v/>
      </c>
      <c r="I73" s="2">
        <f>'As Received'!I73</f>
        <v/>
      </c>
      <c r="J73" s="2">
        <f>'As Received'!J73</f>
        <v/>
      </c>
      <c r="K73" s="2">
        <f>'As Received'!K73</f>
        <v/>
      </c>
      <c r="L73" s="2">
        <f>'As Received'!L73</f>
        <v/>
      </c>
      <c r="M73" s="2">
        <f>'As Received'!M73</f>
        <v/>
      </c>
      <c r="N73" s="2">
        <f>'As Received'!N73</f>
        <v/>
      </c>
      <c r="O73" s="3">
        <f>'As Received'!O73</f>
        <v/>
      </c>
      <c r="P73" s="3">
        <f>'As Received'!P73</f>
        <v/>
      </c>
      <c r="Q73" s="3">
        <f>'As Received'!Q73</f>
        <v/>
      </c>
      <c r="R73" s="2">
        <f>IF(K73="","",K73-(L73+M73+N73))</f>
        <v/>
      </c>
      <c r="S73" s="2">
        <f>IF(J73="","",K73-ROUND(0.8*J73,0))</f>
        <v/>
      </c>
    </row>
    <row r="74">
      <c r="A74" s="2">
        <f>'As Received'!A74</f>
        <v/>
      </c>
      <c r="B74" s="2">
        <f>'As Received'!B74</f>
        <v/>
      </c>
      <c r="C74" s="2">
        <f>'As Received'!C74</f>
        <v/>
      </c>
      <c r="D74" s="3">
        <f>'As Received'!D74</f>
        <v/>
      </c>
      <c r="E74" s="2">
        <f>'As Received'!E74</f>
        <v/>
      </c>
      <c r="F74" s="2">
        <f>'As Received'!F74</f>
        <v/>
      </c>
      <c r="G74" s="2">
        <f>'As Received'!G74</f>
        <v/>
      </c>
      <c r="H74" s="2">
        <f>'As Received'!H74</f>
        <v/>
      </c>
      <c r="I74" s="2">
        <f>'As Received'!I74</f>
        <v/>
      </c>
      <c r="J74" s="2">
        <f>'As Received'!J74</f>
        <v/>
      </c>
      <c r="K74" s="2">
        <f>'As Received'!K74</f>
        <v/>
      </c>
      <c r="L74" s="2">
        <f>'As Received'!L74</f>
        <v/>
      </c>
      <c r="M74" s="2">
        <f>'As Received'!M74</f>
        <v/>
      </c>
      <c r="N74" s="2">
        <f>'As Received'!N74</f>
        <v/>
      </c>
      <c r="O74" s="3">
        <f>'As Received'!O74</f>
        <v/>
      </c>
      <c r="P74" s="3">
        <f>'As Received'!P74</f>
        <v/>
      </c>
      <c r="Q74" s="3">
        <f>'As Received'!Q74</f>
        <v/>
      </c>
      <c r="R74" s="2">
        <f>IF(K74="","",K74-(L74+M74+N74))</f>
        <v/>
      </c>
      <c r="S74" s="2">
        <f>IF(J74="","",K74-ROUND(0.8*J74,0))</f>
        <v/>
      </c>
    </row>
    <row r="75">
      <c r="A75" s="2">
        <f>'As Received'!A75</f>
        <v/>
      </c>
      <c r="B75" s="2">
        <f>'As Received'!B75</f>
        <v/>
      </c>
      <c r="C75" s="2">
        <f>'As Received'!C75</f>
        <v/>
      </c>
      <c r="D75" s="3">
        <f>'As Received'!D75</f>
        <v/>
      </c>
      <c r="E75" s="2">
        <f>'As Received'!E75</f>
        <v/>
      </c>
      <c r="F75" s="2">
        <f>'As Received'!F75</f>
        <v/>
      </c>
      <c r="G75" s="2">
        <f>'As Received'!G75</f>
        <v/>
      </c>
      <c r="H75" s="2">
        <f>'As Received'!H75</f>
        <v/>
      </c>
      <c r="I75" s="2">
        <f>'As Received'!I75</f>
        <v/>
      </c>
      <c r="J75" s="2">
        <f>'As Received'!J75</f>
        <v/>
      </c>
      <c r="K75" s="2">
        <f>'As Received'!K75</f>
        <v/>
      </c>
      <c r="L75" s="2">
        <f>'As Received'!L75</f>
        <v/>
      </c>
      <c r="M75" s="2">
        <f>'As Received'!M75</f>
        <v/>
      </c>
      <c r="N75" s="2">
        <f>'As Received'!N75</f>
        <v/>
      </c>
      <c r="O75" s="3">
        <f>'As Received'!O75</f>
        <v/>
      </c>
      <c r="P75" s="3">
        <f>'As Received'!P75</f>
        <v/>
      </c>
      <c r="Q75" s="3">
        <f>'As Received'!Q75</f>
        <v/>
      </c>
      <c r="R75" s="2">
        <f>IF(K75="","",K75-(L75+M75+N75))</f>
        <v/>
      </c>
      <c r="S75" s="2">
        <f>IF(J75="","",K75-ROUND(0.8*J75,0))</f>
        <v/>
      </c>
    </row>
    <row r="76">
      <c r="A76" s="2">
        <f>'As Received'!A76</f>
        <v/>
      </c>
      <c r="B76" s="2">
        <f>'As Received'!B76</f>
        <v/>
      </c>
      <c r="C76" s="2">
        <f>'As Received'!C76</f>
        <v/>
      </c>
      <c r="D76" s="3">
        <f>'As Received'!D76</f>
        <v/>
      </c>
      <c r="E76" s="2">
        <f>'As Received'!E76</f>
        <v/>
      </c>
      <c r="F76" s="2">
        <f>'As Received'!F76</f>
        <v/>
      </c>
      <c r="G76" s="2">
        <f>'As Received'!G76</f>
        <v/>
      </c>
      <c r="H76" s="2">
        <f>'As Received'!H76</f>
        <v/>
      </c>
      <c r="I76" s="2">
        <f>'As Received'!I76</f>
        <v/>
      </c>
      <c r="J76" s="2">
        <f>'As Received'!J76</f>
        <v/>
      </c>
      <c r="K76" s="2">
        <f>'As Received'!K76</f>
        <v/>
      </c>
      <c r="L76" s="2">
        <f>'As Received'!L76</f>
        <v/>
      </c>
      <c r="M76" s="2">
        <f>'As Received'!M76</f>
        <v/>
      </c>
      <c r="N76" s="2">
        <f>'As Received'!N76</f>
        <v/>
      </c>
      <c r="O76" s="3">
        <f>'As Received'!O76</f>
        <v/>
      </c>
      <c r="P76" s="3">
        <f>'As Received'!P76</f>
        <v/>
      </c>
      <c r="Q76" s="3">
        <f>'As Received'!Q76</f>
        <v/>
      </c>
      <c r="R76" s="2">
        <f>IF(K76="","",K76-(L76+M76+N76))</f>
        <v/>
      </c>
      <c r="S76" s="2">
        <f>IF(J76="","",K76-ROUND(0.8*J76,0))</f>
        <v/>
      </c>
    </row>
    <row r="77">
      <c r="A77" s="2">
        <f>'As Received'!A77</f>
        <v/>
      </c>
      <c r="B77" s="2">
        <f>'As Received'!B77</f>
        <v/>
      </c>
      <c r="C77" s="2">
        <f>'As Received'!C77</f>
        <v/>
      </c>
      <c r="D77" s="3">
        <f>'As Received'!D77</f>
        <v/>
      </c>
      <c r="E77" s="2">
        <f>'As Received'!E77</f>
        <v/>
      </c>
      <c r="F77" s="2">
        <f>'As Received'!F77</f>
        <v/>
      </c>
      <c r="G77" s="2">
        <f>'As Received'!G77</f>
        <v/>
      </c>
      <c r="H77" s="2">
        <f>'As Received'!H77</f>
        <v/>
      </c>
      <c r="I77" s="2">
        <f>'As Received'!I77</f>
        <v/>
      </c>
      <c r="J77" s="2">
        <f>'As Received'!J77</f>
        <v/>
      </c>
      <c r="K77" s="2">
        <f>'As Received'!K77</f>
        <v/>
      </c>
      <c r="L77" s="2">
        <f>'As Received'!L77</f>
        <v/>
      </c>
      <c r="M77" s="2">
        <f>'As Received'!M77</f>
        <v/>
      </c>
      <c r="N77" s="2">
        <f>'As Received'!N77</f>
        <v/>
      </c>
      <c r="O77" s="3">
        <f>'As Received'!O77</f>
        <v/>
      </c>
      <c r="P77" s="3">
        <f>'As Received'!P77</f>
        <v/>
      </c>
      <c r="Q77" s="3">
        <f>'As Received'!Q77</f>
        <v/>
      </c>
      <c r="R77" s="2">
        <f>IF(K77="","",K77-(L77+M77+N77))</f>
        <v/>
      </c>
      <c r="S77" s="2">
        <f>IF(J77="","",K77-ROUND(0.8*J77,0))</f>
        <v/>
      </c>
    </row>
    <row r="78">
      <c r="A78" s="2">
        <f>'As Received'!A78</f>
        <v/>
      </c>
      <c r="B78" s="2">
        <f>'As Received'!B78</f>
        <v/>
      </c>
      <c r="C78" s="2">
        <f>'As Received'!C78</f>
        <v/>
      </c>
      <c r="D78" s="3">
        <f>'As Received'!D78</f>
        <v/>
      </c>
      <c r="E78" s="2">
        <f>'As Received'!E78</f>
        <v/>
      </c>
      <c r="F78" s="2">
        <f>'As Received'!F78</f>
        <v/>
      </c>
      <c r="G78" s="2">
        <f>'As Received'!G78</f>
        <v/>
      </c>
      <c r="H78" s="2">
        <f>'As Received'!H78</f>
        <v/>
      </c>
      <c r="I78" s="2">
        <f>'As Received'!I78</f>
        <v/>
      </c>
      <c r="J78" s="2">
        <f>'As Received'!J78</f>
        <v/>
      </c>
      <c r="K78" s="2">
        <f>'As Received'!K78</f>
        <v/>
      </c>
      <c r="L78" s="2">
        <f>'As Received'!L78</f>
        <v/>
      </c>
      <c r="M78" s="2">
        <f>'As Received'!M78</f>
        <v/>
      </c>
      <c r="N78" s="2">
        <f>'As Received'!N78</f>
        <v/>
      </c>
      <c r="O78" s="3">
        <f>'As Received'!O78</f>
        <v/>
      </c>
      <c r="P78" s="3">
        <f>'As Received'!P78</f>
        <v/>
      </c>
      <c r="Q78" s="3">
        <f>'As Received'!Q78</f>
        <v/>
      </c>
      <c r="R78" s="2">
        <f>IF(K78="","",K78-(L78+M78+N78))</f>
        <v/>
      </c>
      <c r="S78" s="2">
        <f>IF(J78="","",K78-ROUND(0.8*J78,0))</f>
        <v/>
      </c>
    </row>
    <row r="79">
      <c r="A79" s="2">
        <f>'As Received'!A79</f>
        <v/>
      </c>
      <c r="B79" s="2">
        <f>'As Received'!B79</f>
        <v/>
      </c>
      <c r="C79" s="2">
        <f>'As Received'!C79</f>
        <v/>
      </c>
      <c r="D79" s="3">
        <f>'As Received'!D79</f>
        <v/>
      </c>
      <c r="E79" s="2">
        <f>'As Received'!E79</f>
        <v/>
      </c>
      <c r="F79" s="2">
        <f>'As Received'!F79</f>
        <v/>
      </c>
      <c r="G79" s="2">
        <f>'As Received'!G79</f>
        <v/>
      </c>
      <c r="H79" s="2">
        <f>'As Received'!H79</f>
        <v/>
      </c>
      <c r="I79" s="2">
        <f>'As Received'!I79</f>
        <v/>
      </c>
      <c r="J79" s="2">
        <f>'As Received'!J79</f>
        <v/>
      </c>
      <c r="K79" s="2">
        <f>'As Received'!K79</f>
        <v/>
      </c>
      <c r="L79" s="2">
        <f>'As Received'!L79</f>
        <v/>
      </c>
      <c r="M79" s="2">
        <f>'As Received'!M79</f>
        <v/>
      </c>
      <c r="N79" s="2">
        <f>'As Received'!N79</f>
        <v/>
      </c>
      <c r="O79" s="3">
        <f>'As Received'!O79</f>
        <v/>
      </c>
      <c r="P79" s="3">
        <f>'As Received'!P79</f>
        <v/>
      </c>
      <c r="Q79" s="3">
        <f>'As Received'!Q79</f>
        <v/>
      </c>
      <c r="R79" s="2">
        <f>IF(K79="","",K79-(L79+M79+N79))</f>
        <v/>
      </c>
      <c r="S79" s="2">
        <f>IF(J79="","",K79-ROUND(0.8*J79,0))</f>
        <v/>
      </c>
    </row>
    <row r="80">
      <c r="A80" s="2">
        <f>'As Received'!A80</f>
        <v/>
      </c>
      <c r="B80" s="2">
        <f>'As Received'!B80</f>
        <v/>
      </c>
      <c r="C80" s="2">
        <f>'As Received'!C80</f>
        <v/>
      </c>
      <c r="D80" s="3">
        <f>'As Received'!D80</f>
        <v/>
      </c>
      <c r="E80" s="2">
        <f>'As Received'!E80</f>
        <v/>
      </c>
      <c r="F80" s="2">
        <f>'As Received'!F80</f>
        <v/>
      </c>
      <c r="G80" s="2">
        <f>'As Received'!G80</f>
        <v/>
      </c>
      <c r="H80" s="2">
        <f>'As Received'!H80</f>
        <v/>
      </c>
      <c r="I80" s="2">
        <f>'As Received'!I80</f>
        <v/>
      </c>
      <c r="J80" s="2">
        <f>'As Received'!J80</f>
        <v/>
      </c>
      <c r="K80" s="2">
        <f>'As Received'!K80</f>
        <v/>
      </c>
      <c r="L80" s="2">
        <f>'As Received'!L80</f>
        <v/>
      </c>
      <c r="M80" s="2">
        <f>'As Received'!M80</f>
        <v/>
      </c>
      <c r="N80" s="2">
        <f>'As Received'!N80</f>
        <v/>
      </c>
      <c r="O80" s="3">
        <f>'As Received'!O80</f>
        <v/>
      </c>
      <c r="P80" s="3">
        <f>'As Received'!P80</f>
        <v/>
      </c>
      <c r="Q80" s="3">
        <f>'As Received'!Q80</f>
        <v/>
      </c>
      <c r="R80" s="2">
        <f>IF(K80="","",K80-(L80+M80+N80))</f>
        <v/>
      </c>
      <c r="S80" s="2">
        <f>IF(J80="","",K80-ROUND(0.8*J80,0))</f>
        <v/>
      </c>
    </row>
    <row r="81">
      <c r="A81" s="2">
        <f>'As Received'!A81</f>
        <v/>
      </c>
      <c r="B81" s="2">
        <f>'As Received'!B81</f>
        <v/>
      </c>
      <c r="C81" s="2">
        <f>'As Received'!C81</f>
        <v/>
      </c>
      <c r="D81" s="3">
        <f>'As Received'!D81</f>
        <v/>
      </c>
      <c r="E81" s="2">
        <f>'As Received'!E81</f>
        <v/>
      </c>
      <c r="F81" s="2">
        <f>'As Received'!F81</f>
        <v/>
      </c>
      <c r="G81" s="2">
        <f>'As Received'!G81</f>
        <v/>
      </c>
      <c r="H81" s="2">
        <f>'As Received'!H81</f>
        <v/>
      </c>
      <c r="I81" s="2">
        <f>'As Received'!I81</f>
        <v/>
      </c>
      <c r="J81" s="2">
        <f>'As Received'!J81</f>
        <v/>
      </c>
      <c r="K81" s="2">
        <f>'As Received'!K81</f>
        <v/>
      </c>
      <c r="L81" s="2">
        <f>'As Received'!L81</f>
        <v/>
      </c>
      <c r="M81" s="2">
        <f>'As Received'!M81</f>
        <v/>
      </c>
      <c r="N81" s="2">
        <f>'As Received'!N81</f>
        <v/>
      </c>
      <c r="O81" s="3">
        <f>'As Received'!O81</f>
        <v/>
      </c>
      <c r="P81" s="3">
        <f>'As Received'!P81</f>
        <v/>
      </c>
      <c r="Q81" s="3">
        <f>'As Received'!Q81</f>
        <v/>
      </c>
      <c r="R81" s="2">
        <f>IF(K81="","",K81-(L81+M81+N81))</f>
        <v/>
      </c>
      <c r="S81" s="2">
        <f>IF(J81="","",K81-ROUND(0.8*J81,0))</f>
        <v/>
      </c>
    </row>
    <row r="82">
      <c r="A82" s="2">
        <f>'As Received'!A82</f>
        <v/>
      </c>
      <c r="B82" s="2">
        <f>'As Received'!B82</f>
        <v/>
      </c>
      <c r="C82" s="2">
        <f>'As Received'!C82</f>
        <v/>
      </c>
      <c r="D82" s="3">
        <f>'As Received'!D82</f>
        <v/>
      </c>
      <c r="E82" s="2">
        <f>'As Received'!E82</f>
        <v/>
      </c>
      <c r="F82" s="2">
        <f>'As Received'!F82</f>
        <v/>
      </c>
      <c r="G82" s="2">
        <f>'As Received'!G82</f>
        <v/>
      </c>
      <c r="H82" s="2">
        <f>'As Received'!H82</f>
        <v/>
      </c>
      <c r="I82" s="2">
        <f>'As Received'!I82</f>
        <v/>
      </c>
      <c r="J82" s="2">
        <f>'As Received'!J82</f>
        <v/>
      </c>
      <c r="K82" s="2">
        <f>'As Received'!K82</f>
        <v/>
      </c>
      <c r="L82" s="2">
        <f>'As Received'!L82</f>
        <v/>
      </c>
      <c r="M82" s="2">
        <f>'As Received'!M82</f>
        <v/>
      </c>
      <c r="N82" s="2">
        <f>'As Received'!N82</f>
        <v/>
      </c>
      <c r="O82" s="3">
        <f>'As Received'!O82</f>
        <v/>
      </c>
      <c r="P82" s="3">
        <f>'As Received'!P82</f>
        <v/>
      </c>
      <c r="Q82" s="3">
        <f>'As Received'!Q82</f>
        <v/>
      </c>
      <c r="R82" s="2">
        <f>IF(K82="","",K82-(L82+M82+N82))</f>
        <v/>
      </c>
      <c r="S82" s="2">
        <f>IF(J82="","",K82-ROUND(0.8*J82,0))</f>
        <v/>
      </c>
    </row>
    <row r="83">
      <c r="A83" s="2">
        <f>'As Received'!A83</f>
        <v/>
      </c>
      <c r="B83" s="2">
        <f>'As Received'!B83</f>
        <v/>
      </c>
      <c r="C83" s="2">
        <f>'As Received'!C83</f>
        <v/>
      </c>
      <c r="D83" s="3">
        <f>'As Received'!D83</f>
        <v/>
      </c>
      <c r="E83" s="2">
        <f>'As Received'!E83</f>
        <v/>
      </c>
      <c r="F83" s="2">
        <f>'As Received'!F83</f>
        <v/>
      </c>
      <c r="G83" s="2">
        <f>'As Received'!G83</f>
        <v/>
      </c>
      <c r="H83" s="2">
        <f>'As Received'!H83</f>
        <v/>
      </c>
      <c r="I83" s="2">
        <f>'As Received'!I83</f>
        <v/>
      </c>
      <c r="J83" s="2">
        <f>'As Received'!J83</f>
        <v/>
      </c>
      <c r="K83" s="2">
        <f>'As Received'!K83</f>
        <v/>
      </c>
      <c r="L83" s="2">
        <f>'As Received'!L83</f>
        <v/>
      </c>
      <c r="M83" s="2">
        <f>'As Received'!M83</f>
        <v/>
      </c>
      <c r="N83" s="2">
        <f>'As Received'!N83</f>
        <v/>
      </c>
      <c r="O83" s="3">
        <f>'As Received'!O83</f>
        <v/>
      </c>
      <c r="P83" s="3">
        <f>'As Received'!P83</f>
        <v/>
      </c>
      <c r="Q83" s="3">
        <f>'As Received'!Q83</f>
        <v/>
      </c>
      <c r="R83" s="2">
        <f>IF(K83="","",K83-(L83+M83+N83))</f>
        <v/>
      </c>
      <c r="S83" s="2">
        <f>IF(J83="","",K83-ROUND(0.8*J83,0))</f>
        <v/>
      </c>
    </row>
    <row r="84">
      <c r="A84" s="2">
        <f>'As Received'!A84</f>
        <v/>
      </c>
      <c r="B84" s="2">
        <f>'As Received'!B84</f>
        <v/>
      </c>
      <c r="C84" s="2">
        <f>'As Received'!C84</f>
        <v/>
      </c>
      <c r="D84" s="3">
        <f>'As Received'!D84</f>
        <v/>
      </c>
      <c r="E84" s="2">
        <f>'As Received'!E84</f>
        <v/>
      </c>
      <c r="F84" s="2">
        <f>'As Received'!F84</f>
        <v/>
      </c>
      <c r="G84" s="2">
        <f>'As Received'!G84</f>
        <v/>
      </c>
      <c r="H84" s="2">
        <f>'As Received'!H84</f>
        <v/>
      </c>
      <c r="I84" s="2">
        <f>'As Received'!I84</f>
        <v/>
      </c>
      <c r="J84" s="2">
        <f>'As Received'!J84</f>
        <v/>
      </c>
      <c r="K84" s="2">
        <f>'As Received'!K84</f>
        <v/>
      </c>
      <c r="L84" s="2">
        <f>'As Received'!L84</f>
        <v/>
      </c>
      <c r="M84" s="2">
        <f>'As Received'!M84</f>
        <v/>
      </c>
      <c r="N84" s="2">
        <f>'As Received'!N84</f>
        <v/>
      </c>
      <c r="O84" s="3">
        <f>'As Received'!O84</f>
        <v/>
      </c>
      <c r="P84" s="3">
        <f>'As Received'!P84</f>
        <v/>
      </c>
      <c r="Q84" s="3">
        <f>'As Received'!Q84</f>
        <v/>
      </c>
      <c r="R84" s="2">
        <f>IF(K84="","",K84-(L84+M84+N84))</f>
        <v/>
      </c>
      <c r="S84" s="2">
        <f>IF(J84="","",K84-ROUND(0.8*J84,0))</f>
        <v/>
      </c>
    </row>
    <row r="85">
      <c r="A85" s="2">
        <f>'As Received'!A85</f>
        <v/>
      </c>
      <c r="B85" s="2">
        <f>'As Received'!B85</f>
        <v/>
      </c>
      <c r="C85" s="2">
        <f>'As Received'!C85</f>
        <v/>
      </c>
      <c r="D85" s="3">
        <f>'As Received'!D85</f>
        <v/>
      </c>
      <c r="E85" s="2">
        <f>'As Received'!E85</f>
        <v/>
      </c>
      <c r="F85" s="2">
        <f>'As Received'!F85</f>
        <v/>
      </c>
      <c r="G85" s="2">
        <f>'As Received'!G85</f>
        <v/>
      </c>
      <c r="H85" s="2">
        <f>'As Received'!H85</f>
        <v/>
      </c>
      <c r="I85" s="2">
        <f>'As Received'!I85</f>
        <v/>
      </c>
      <c r="J85" s="2">
        <f>'As Received'!J85</f>
        <v/>
      </c>
      <c r="K85" s="2">
        <f>'As Received'!K85</f>
        <v/>
      </c>
      <c r="L85" s="2">
        <f>'As Received'!L85</f>
        <v/>
      </c>
      <c r="M85" s="2">
        <f>'As Received'!M85</f>
        <v/>
      </c>
      <c r="N85" s="2">
        <f>'As Received'!N85</f>
        <v/>
      </c>
      <c r="O85" s="3">
        <f>'As Received'!O85</f>
        <v/>
      </c>
      <c r="P85" s="3">
        <f>'As Received'!P85</f>
        <v/>
      </c>
      <c r="Q85" s="3">
        <f>'As Received'!Q85</f>
        <v/>
      </c>
      <c r="R85" s="2">
        <f>IF(K85="","",K85-(L85+M85+N85))</f>
        <v/>
      </c>
      <c r="S85" s="2">
        <f>IF(J85="","",K85-ROUND(0.8*J85,0))</f>
        <v/>
      </c>
    </row>
    <row r="86">
      <c r="A86" s="2">
        <f>'As Received'!A86</f>
        <v/>
      </c>
      <c r="B86" s="2">
        <f>'As Received'!B86</f>
        <v/>
      </c>
      <c r="C86" s="2">
        <f>'As Received'!C86</f>
        <v/>
      </c>
      <c r="D86" s="3">
        <f>'As Received'!D86</f>
        <v/>
      </c>
      <c r="E86" s="2">
        <f>'As Received'!E86</f>
        <v/>
      </c>
      <c r="F86" s="2">
        <f>'As Received'!F86</f>
        <v/>
      </c>
      <c r="G86" s="2">
        <f>'As Received'!G86</f>
        <v/>
      </c>
      <c r="H86" s="2">
        <f>'As Received'!H86</f>
        <v/>
      </c>
      <c r="I86" s="2">
        <f>'As Received'!I86</f>
        <v/>
      </c>
      <c r="J86" s="2">
        <f>'As Received'!J86</f>
        <v/>
      </c>
      <c r="K86" s="2">
        <f>'As Received'!K86</f>
        <v/>
      </c>
      <c r="L86" s="2">
        <f>'As Received'!L86</f>
        <v/>
      </c>
      <c r="M86" s="2">
        <f>'As Received'!M86</f>
        <v/>
      </c>
      <c r="N86" s="2">
        <f>'As Received'!N86</f>
        <v/>
      </c>
      <c r="O86" s="3">
        <f>'As Received'!O86</f>
        <v/>
      </c>
      <c r="P86" s="3">
        <f>'As Received'!P86</f>
        <v/>
      </c>
      <c r="Q86" s="3">
        <f>'As Received'!Q86</f>
        <v/>
      </c>
      <c r="R86" s="2">
        <f>IF(K86="","",K86-(L86+M86+N86))</f>
        <v/>
      </c>
      <c r="S86" s="2">
        <f>IF(J86="","",K86-ROUND(0.8*J86,0))</f>
        <v/>
      </c>
    </row>
    <row r="87">
      <c r="A87" s="2">
        <f>'As Received'!A87</f>
        <v/>
      </c>
      <c r="B87" s="2">
        <f>'As Received'!B87</f>
        <v/>
      </c>
      <c r="C87" s="2">
        <f>'As Received'!C87</f>
        <v/>
      </c>
      <c r="D87" s="3">
        <f>'As Received'!D87</f>
        <v/>
      </c>
      <c r="E87" s="2">
        <f>'As Received'!E87</f>
        <v/>
      </c>
      <c r="F87" s="2">
        <f>'As Received'!F87</f>
        <v/>
      </c>
      <c r="G87" s="2">
        <f>'As Received'!G87</f>
        <v/>
      </c>
      <c r="H87" s="2">
        <f>'As Received'!H87</f>
        <v/>
      </c>
      <c r="I87" s="2">
        <f>'As Received'!I87</f>
        <v/>
      </c>
      <c r="J87" s="2">
        <f>'As Received'!J87</f>
        <v/>
      </c>
      <c r="K87" s="2">
        <f>'As Received'!K87</f>
        <v/>
      </c>
      <c r="L87" s="2">
        <f>'As Received'!L87</f>
        <v/>
      </c>
      <c r="M87" s="2">
        <f>'As Received'!M87</f>
        <v/>
      </c>
      <c r="N87" s="2">
        <f>'As Received'!N87</f>
        <v/>
      </c>
      <c r="O87" s="3">
        <f>'As Received'!O87</f>
        <v/>
      </c>
      <c r="P87" s="3">
        <f>'As Received'!P87</f>
        <v/>
      </c>
      <c r="Q87" s="3">
        <f>'As Received'!Q87</f>
        <v/>
      </c>
      <c r="R87" s="2">
        <f>IF(K87="","",K87-(L87+M87+N87))</f>
        <v/>
      </c>
      <c r="S87" s="2">
        <f>IF(J87="","",K87-ROUND(0.8*J87,0))</f>
        <v/>
      </c>
    </row>
    <row r="88">
      <c r="A88" s="2">
        <f>'As Received'!A88</f>
        <v/>
      </c>
      <c r="B88" s="2">
        <f>'As Received'!B88</f>
        <v/>
      </c>
      <c r="C88" s="2">
        <f>'As Received'!C88</f>
        <v/>
      </c>
      <c r="D88" s="3">
        <f>'As Received'!D88</f>
        <v/>
      </c>
      <c r="E88" s="2">
        <f>'As Received'!E88</f>
        <v/>
      </c>
      <c r="F88" s="2">
        <f>'As Received'!F88</f>
        <v/>
      </c>
      <c r="G88" s="2">
        <f>'As Received'!G88</f>
        <v/>
      </c>
      <c r="H88" s="2">
        <f>'As Received'!H88</f>
        <v/>
      </c>
      <c r="I88" s="2">
        <f>'As Received'!I88</f>
        <v/>
      </c>
      <c r="J88" s="2">
        <f>'As Received'!J88</f>
        <v/>
      </c>
      <c r="K88" s="2">
        <f>'As Received'!K88</f>
        <v/>
      </c>
      <c r="L88" s="2">
        <f>'As Received'!L88</f>
        <v/>
      </c>
      <c r="M88" s="2">
        <f>'As Received'!M88</f>
        <v/>
      </c>
      <c r="N88" s="2">
        <f>'As Received'!N88</f>
        <v/>
      </c>
      <c r="O88" s="3">
        <f>'As Received'!O88</f>
        <v/>
      </c>
      <c r="P88" s="3">
        <f>'As Received'!P88</f>
        <v/>
      </c>
      <c r="Q88" s="3">
        <f>'As Received'!Q88</f>
        <v/>
      </c>
      <c r="R88" s="2">
        <f>IF(K88="","",K88-(L88+M88+N88))</f>
        <v/>
      </c>
      <c r="S88" s="2">
        <f>IF(J88="","",K88-ROUND(0.8*J88,0))</f>
        <v/>
      </c>
    </row>
    <row r="89">
      <c r="A89" s="2">
        <f>'As Received'!A89</f>
        <v/>
      </c>
      <c r="B89" s="2">
        <f>'As Received'!B89</f>
        <v/>
      </c>
      <c r="C89" s="2">
        <f>'As Received'!C89</f>
        <v/>
      </c>
      <c r="D89" s="3">
        <f>'As Received'!D89</f>
        <v/>
      </c>
      <c r="E89" s="2">
        <f>'As Received'!E89</f>
        <v/>
      </c>
      <c r="F89" s="2">
        <f>'As Received'!F89</f>
        <v/>
      </c>
      <c r="G89" s="2">
        <f>'As Received'!G89</f>
        <v/>
      </c>
      <c r="H89" s="2">
        <f>'As Received'!H89</f>
        <v/>
      </c>
      <c r="I89" s="2">
        <f>'As Received'!I89</f>
        <v/>
      </c>
      <c r="J89" s="2">
        <f>'As Received'!J89</f>
        <v/>
      </c>
      <c r="K89" s="2">
        <f>'As Received'!K89</f>
        <v/>
      </c>
      <c r="L89" s="2">
        <f>'As Received'!L89</f>
        <v/>
      </c>
      <c r="M89" s="2">
        <f>'As Received'!M89</f>
        <v/>
      </c>
      <c r="N89" s="2">
        <f>'As Received'!N89</f>
        <v/>
      </c>
      <c r="O89" s="3">
        <f>'As Received'!O89</f>
        <v/>
      </c>
      <c r="P89" s="3">
        <f>'As Received'!P89</f>
        <v/>
      </c>
      <c r="Q89" s="3">
        <f>'As Received'!Q89</f>
        <v/>
      </c>
      <c r="R89" s="2">
        <f>IF(K89="","",K89-(L89+M89+N89))</f>
        <v/>
      </c>
      <c r="S89" s="2">
        <f>IF(J89="","",K89-ROUND(0.8*J89,0))</f>
        <v/>
      </c>
    </row>
    <row r="90">
      <c r="A90" s="2">
        <f>'As Received'!A90</f>
        <v/>
      </c>
      <c r="B90" s="2">
        <f>'As Received'!B90</f>
        <v/>
      </c>
      <c r="C90" s="2">
        <f>'As Received'!C90</f>
        <v/>
      </c>
      <c r="D90" s="3">
        <f>'As Received'!D90</f>
        <v/>
      </c>
      <c r="E90" s="2">
        <f>'As Received'!E90</f>
        <v/>
      </c>
      <c r="F90" s="2">
        <f>'As Received'!F90</f>
        <v/>
      </c>
      <c r="G90" s="2">
        <f>'As Received'!G90</f>
        <v/>
      </c>
      <c r="H90" s="2">
        <f>'As Received'!H90</f>
        <v/>
      </c>
      <c r="I90" s="2">
        <f>'As Received'!I90</f>
        <v/>
      </c>
      <c r="J90" s="2">
        <f>'As Received'!J90</f>
        <v/>
      </c>
      <c r="K90" s="2">
        <f>'As Received'!K90</f>
        <v/>
      </c>
      <c r="L90" s="2">
        <f>'As Received'!L90</f>
        <v/>
      </c>
      <c r="M90" s="2">
        <f>'As Received'!M90</f>
        <v/>
      </c>
      <c r="N90" s="2">
        <f>'As Received'!N90</f>
        <v/>
      </c>
      <c r="O90" s="3">
        <f>'As Received'!O90</f>
        <v/>
      </c>
      <c r="P90" s="3">
        <f>'As Received'!P90</f>
        <v/>
      </c>
      <c r="Q90" s="3">
        <f>'As Received'!Q90</f>
        <v/>
      </c>
      <c r="R90" s="2">
        <f>IF(K90="","",K90-(L90+M90+N90))</f>
        <v/>
      </c>
      <c r="S90" s="2">
        <f>IF(J90="","",K90-ROUND(0.8*J90,0))</f>
        <v/>
      </c>
    </row>
    <row r="91">
      <c r="A91" s="2">
        <f>'As Received'!A91</f>
        <v/>
      </c>
      <c r="B91" s="2">
        <f>'As Received'!B91</f>
        <v/>
      </c>
      <c r="C91" s="2">
        <f>'As Received'!C91</f>
        <v/>
      </c>
      <c r="D91" s="3">
        <f>'As Received'!D91</f>
        <v/>
      </c>
      <c r="E91" s="2">
        <f>'As Received'!E91</f>
        <v/>
      </c>
      <c r="F91" s="2">
        <f>'As Received'!F91</f>
        <v/>
      </c>
      <c r="G91" s="2">
        <f>'As Received'!G91</f>
        <v/>
      </c>
      <c r="H91" s="2">
        <f>'As Received'!H91</f>
        <v/>
      </c>
      <c r="I91" s="2">
        <f>'As Received'!I91</f>
        <v/>
      </c>
      <c r="J91" s="2">
        <f>'As Received'!J91</f>
        <v/>
      </c>
      <c r="K91" s="2">
        <f>'As Received'!K91</f>
        <v/>
      </c>
      <c r="L91" s="2">
        <f>'As Received'!L91</f>
        <v/>
      </c>
      <c r="M91" s="2">
        <f>'As Received'!M91</f>
        <v/>
      </c>
      <c r="N91" s="2">
        <f>'As Received'!N91</f>
        <v/>
      </c>
      <c r="O91" s="3">
        <f>'As Received'!O91</f>
        <v/>
      </c>
      <c r="P91" s="3">
        <f>'As Received'!P91</f>
        <v/>
      </c>
      <c r="Q91" s="3">
        <f>'As Received'!Q91</f>
        <v/>
      </c>
      <c r="R91" s="2">
        <f>IF(K91="","",K91-(L91+M91+N91))</f>
        <v/>
      </c>
      <c r="S91" s="2">
        <f>IF(J91="","",K91-ROUND(0.8*J91,0))</f>
        <v/>
      </c>
    </row>
    <row r="92">
      <c r="A92" s="2">
        <f>'As Received'!A92</f>
        <v/>
      </c>
      <c r="B92" s="2">
        <f>'As Received'!B92</f>
        <v/>
      </c>
      <c r="C92" s="2">
        <f>'As Received'!C92</f>
        <v/>
      </c>
      <c r="D92" s="3">
        <f>'As Received'!D92</f>
        <v/>
      </c>
      <c r="E92" s="2">
        <f>'As Received'!E92</f>
        <v/>
      </c>
      <c r="F92" s="2">
        <f>'As Received'!F92</f>
        <v/>
      </c>
      <c r="G92" s="2">
        <f>'As Received'!G92</f>
        <v/>
      </c>
      <c r="H92" s="2">
        <f>'As Received'!H92</f>
        <v/>
      </c>
      <c r="I92" s="2">
        <f>'As Received'!I92</f>
        <v/>
      </c>
      <c r="J92" s="2">
        <f>'As Received'!J92</f>
        <v/>
      </c>
      <c r="K92" s="2">
        <f>'As Received'!K92</f>
        <v/>
      </c>
      <c r="L92" s="2">
        <f>'As Received'!L92</f>
        <v/>
      </c>
      <c r="M92" s="2">
        <f>'As Received'!M92</f>
        <v/>
      </c>
      <c r="N92" s="2">
        <f>'As Received'!N92</f>
        <v/>
      </c>
      <c r="O92" s="3">
        <f>'As Received'!O92</f>
        <v/>
      </c>
      <c r="P92" s="3">
        <f>'As Received'!P92</f>
        <v/>
      </c>
      <c r="Q92" s="3">
        <f>'As Received'!Q92</f>
        <v/>
      </c>
      <c r="R92" s="2">
        <f>IF(K92="","",K92-(L92+M92+N92))</f>
        <v/>
      </c>
      <c r="S92" s="2">
        <f>IF(J92="","",K92-ROUND(0.8*J92,0))</f>
        <v/>
      </c>
    </row>
    <row r="93">
      <c r="A93" s="2">
        <f>'As Received'!A93</f>
        <v/>
      </c>
      <c r="B93" s="2">
        <f>'As Received'!B93</f>
        <v/>
      </c>
      <c r="C93" s="2">
        <f>'As Received'!C93</f>
        <v/>
      </c>
      <c r="D93" s="3">
        <f>'As Received'!D93</f>
        <v/>
      </c>
      <c r="E93" s="2">
        <f>'As Received'!E93</f>
        <v/>
      </c>
      <c r="F93" s="2">
        <f>'As Received'!F93</f>
        <v/>
      </c>
      <c r="G93" s="2">
        <f>'As Received'!G93</f>
        <v/>
      </c>
      <c r="H93" s="2">
        <f>'As Received'!H93</f>
        <v/>
      </c>
      <c r="I93" s="2">
        <f>'As Received'!I93</f>
        <v/>
      </c>
      <c r="J93" s="2">
        <f>'As Received'!J93</f>
        <v/>
      </c>
      <c r="K93" s="2">
        <f>'As Received'!K93</f>
        <v/>
      </c>
      <c r="L93" s="2">
        <f>'As Received'!L93</f>
        <v/>
      </c>
      <c r="M93" s="2">
        <f>'As Received'!M93</f>
        <v/>
      </c>
      <c r="N93" s="2">
        <f>'As Received'!N93</f>
        <v/>
      </c>
      <c r="O93" s="3">
        <f>'As Received'!O93</f>
        <v/>
      </c>
      <c r="P93" s="3">
        <f>'As Received'!P93</f>
        <v/>
      </c>
      <c r="Q93" s="3">
        <f>'As Received'!Q93</f>
        <v/>
      </c>
      <c r="R93" s="2">
        <f>IF(K93="","",K93-(L93+M93+N93))</f>
        <v/>
      </c>
      <c r="S93" s="2">
        <f>IF(J93="","",K93-ROUND(0.8*J93,0))</f>
        <v/>
      </c>
    </row>
    <row r="94">
      <c r="A94" s="2">
        <f>'As Received'!A94</f>
        <v/>
      </c>
      <c r="B94" s="2">
        <f>'As Received'!B94</f>
        <v/>
      </c>
      <c r="C94" s="2">
        <f>'As Received'!C94</f>
        <v/>
      </c>
      <c r="D94" s="3">
        <f>'As Received'!D94</f>
        <v/>
      </c>
      <c r="E94" s="2">
        <f>'As Received'!E94</f>
        <v/>
      </c>
      <c r="F94" s="2">
        <f>'As Received'!F94</f>
        <v/>
      </c>
      <c r="G94" s="2">
        <f>'As Received'!G94</f>
        <v/>
      </c>
      <c r="H94" s="2">
        <f>'As Received'!H94</f>
        <v/>
      </c>
      <c r="I94" s="2">
        <f>'As Received'!I94</f>
        <v/>
      </c>
      <c r="J94" s="2">
        <f>'As Received'!J94</f>
        <v/>
      </c>
      <c r="K94" s="2">
        <f>'As Received'!K94</f>
        <v/>
      </c>
      <c r="L94" s="2">
        <f>'As Received'!L94</f>
        <v/>
      </c>
      <c r="M94" s="2">
        <f>'As Received'!M94</f>
        <v/>
      </c>
      <c r="N94" s="2">
        <f>'As Received'!N94</f>
        <v/>
      </c>
      <c r="O94" s="3">
        <f>'As Received'!O94</f>
        <v/>
      </c>
      <c r="P94" s="3">
        <f>'As Received'!P94</f>
        <v/>
      </c>
      <c r="Q94" s="3">
        <f>'As Received'!Q94</f>
        <v/>
      </c>
      <c r="R94" s="2">
        <f>IF(K94="","",K94-(L94+M94+N94))</f>
        <v/>
      </c>
      <c r="S94" s="2">
        <f>IF(J94="","",K94-ROUND(0.8*J94,0))</f>
        <v/>
      </c>
    </row>
    <row r="95">
      <c r="A95" s="2">
        <f>'As Received'!A95</f>
        <v/>
      </c>
      <c r="B95" s="2">
        <f>'As Received'!B95</f>
        <v/>
      </c>
      <c r="C95" s="2">
        <f>'As Received'!C95</f>
        <v/>
      </c>
      <c r="D95" s="3">
        <f>'As Received'!D95</f>
        <v/>
      </c>
      <c r="E95" s="2">
        <f>'As Received'!E95</f>
        <v/>
      </c>
      <c r="F95" s="2">
        <f>'As Received'!F95</f>
        <v/>
      </c>
      <c r="G95" s="2">
        <f>'As Received'!G95</f>
        <v/>
      </c>
      <c r="H95" s="2">
        <f>'As Received'!H95</f>
        <v/>
      </c>
      <c r="I95" s="2">
        <f>'As Received'!I95</f>
        <v/>
      </c>
      <c r="J95" s="2">
        <f>'As Received'!J95</f>
        <v/>
      </c>
      <c r="K95" s="2">
        <f>'As Received'!K95</f>
        <v/>
      </c>
      <c r="L95" s="2">
        <f>'As Received'!L95</f>
        <v/>
      </c>
      <c r="M95" s="2">
        <f>'As Received'!M95</f>
        <v/>
      </c>
      <c r="N95" s="2">
        <f>'As Received'!N95</f>
        <v/>
      </c>
      <c r="O95" s="3">
        <f>'As Received'!O95</f>
        <v/>
      </c>
      <c r="P95" s="3">
        <f>'As Received'!P95</f>
        <v/>
      </c>
      <c r="Q95" s="3">
        <f>'As Received'!Q95</f>
        <v/>
      </c>
      <c r="R95" s="2">
        <f>IF(K95="","",K95-(L95+M95+N95))</f>
        <v/>
      </c>
      <c r="S95" s="2">
        <f>IF(J95="","",K95-ROUND(0.8*J95,0))</f>
        <v/>
      </c>
    </row>
    <row r="96">
      <c r="A96" s="2">
        <f>'As Received'!A96</f>
        <v/>
      </c>
      <c r="B96" s="2">
        <f>'As Received'!B96</f>
        <v/>
      </c>
      <c r="C96" s="2">
        <f>'As Received'!C96</f>
        <v/>
      </c>
      <c r="D96" s="3">
        <f>'As Received'!D96</f>
        <v/>
      </c>
      <c r="E96" s="2">
        <f>'As Received'!E96</f>
        <v/>
      </c>
      <c r="F96" s="2">
        <f>'As Received'!F96</f>
        <v/>
      </c>
      <c r="G96" s="2">
        <f>'As Received'!G96</f>
        <v/>
      </c>
      <c r="H96" s="2">
        <f>'As Received'!H96</f>
        <v/>
      </c>
      <c r="I96" s="2">
        <f>'As Received'!I96</f>
        <v/>
      </c>
      <c r="J96" s="2">
        <f>'As Received'!J96</f>
        <v/>
      </c>
      <c r="K96" s="2">
        <f>'As Received'!K96</f>
        <v/>
      </c>
      <c r="L96" s="2">
        <f>'As Received'!L96</f>
        <v/>
      </c>
      <c r="M96" s="2">
        <f>'As Received'!M96</f>
        <v/>
      </c>
      <c r="N96" s="2">
        <f>'As Received'!N96</f>
        <v/>
      </c>
      <c r="O96" s="3">
        <f>'As Received'!O96</f>
        <v/>
      </c>
      <c r="P96" s="3">
        <f>'As Received'!P96</f>
        <v/>
      </c>
      <c r="Q96" s="3">
        <f>'As Received'!Q96</f>
        <v/>
      </c>
      <c r="R96" s="2">
        <f>IF(K96="","",K96-(L96+M96+N96))</f>
        <v/>
      </c>
      <c r="S96" s="2">
        <f>IF(J96="","",K96-ROUND(0.8*J96,0))</f>
        <v/>
      </c>
    </row>
    <row r="97">
      <c r="A97" s="2">
        <f>'As Received'!A97</f>
        <v/>
      </c>
      <c r="B97" s="2">
        <f>'As Received'!B97</f>
        <v/>
      </c>
      <c r="C97" s="2">
        <f>'As Received'!C97</f>
        <v/>
      </c>
      <c r="D97" s="3">
        <f>'As Received'!D97</f>
        <v/>
      </c>
      <c r="E97" s="2">
        <f>'As Received'!E97</f>
        <v/>
      </c>
      <c r="F97" s="2">
        <f>'As Received'!F97</f>
        <v/>
      </c>
      <c r="G97" s="2">
        <f>'As Received'!G97</f>
        <v/>
      </c>
      <c r="H97" s="2">
        <f>'As Received'!H97</f>
        <v/>
      </c>
      <c r="I97" s="2">
        <f>'As Received'!I97</f>
        <v/>
      </c>
      <c r="J97" s="2">
        <f>'As Received'!J97</f>
        <v/>
      </c>
      <c r="K97" s="2">
        <f>'As Received'!K97</f>
        <v/>
      </c>
      <c r="L97" s="2">
        <f>'As Received'!L97</f>
        <v/>
      </c>
      <c r="M97" s="2">
        <f>'As Received'!M97</f>
        <v/>
      </c>
      <c r="N97" s="2">
        <f>'As Received'!N97</f>
        <v/>
      </c>
      <c r="O97" s="3">
        <f>'As Received'!O97</f>
        <v/>
      </c>
      <c r="P97" s="3">
        <f>'As Received'!P97</f>
        <v/>
      </c>
      <c r="Q97" s="3">
        <f>'As Received'!Q97</f>
        <v/>
      </c>
      <c r="R97" s="2">
        <f>IF(K97="","",K97-(L97+M97+N97))</f>
        <v/>
      </c>
      <c r="S97" s="2">
        <f>IF(J97="","",K97-ROUND(0.8*J97,0))</f>
        <v/>
      </c>
    </row>
    <row r="98">
      <c r="A98" s="2">
        <f>'As Received'!A98</f>
        <v/>
      </c>
      <c r="B98" s="2">
        <f>'As Received'!B98</f>
        <v/>
      </c>
      <c r="C98" s="2">
        <f>'As Received'!C98</f>
        <v/>
      </c>
      <c r="D98" s="3">
        <f>'As Received'!D98</f>
        <v/>
      </c>
      <c r="E98" s="2">
        <f>'As Received'!E98</f>
        <v/>
      </c>
      <c r="F98" s="2">
        <f>'As Received'!F98</f>
        <v/>
      </c>
      <c r="G98" s="2">
        <f>'As Received'!G98</f>
        <v/>
      </c>
      <c r="H98" s="2">
        <f>'As Received'!H98</f>
        <v/>
      </c>
      <c r="I98" s="2">
        <f>'As Received'!I98</f>
        <v/>
      </c>
      <c r="J98" s="2">
        <f>'As Received'!J98</f>
        <v/>
      </c>
      <c r="K98" s="2">
        <f>'As Received'!K98</f>
        <v/>
      </c>
      <c r="L98" s="2">
        <f>'As Received'!L98</f>
        <v/>
      </c>
      <c r="M98" s="2">
        <f>'As Received'!M98</f>
        <v/>
      </c>
      <c r="N98" s="2">
        <f>'As Received'!N98</f>
        <v/>
      </c>
      <c r="O98" s="3">
        <f>'As Received'!O98</f>
        <v/>
      </c>
      <c r="P98" s="3">
        <f>'As Received'!P98</f>
        <v/>
      </c>
      <c r="Q98" s="3">
        <f>'As Received'!Q98</f>
        <v/>
      </c>
      <c r="R98" s="2">
        <f>IF(K98="","",K98-(L98+M98+N98))</f>
        <v/>
      </c>
      <c r="S98" s="2">
        <f>IF(J98="","",K98-ROUND(0.8*J98,0))</f>
        <v/>
      </c>
    </row>
    <row r="99">
      <c r="A99" s="2">
        <f>'As Received'!A99</f>
        <v/>
      </c>
      <c r="B99" s="2">
        <f>'As Received'!B99</f>
        <v/>
      </c>
      <c r="C99" s="2">
        <f>'As Received'!C99</f>
        <v/>
      </c>
      <c r="D99" s="3">
        <f>'As Received'!D99</f>
        <v/>
      </c>
      <c r="E99" s="2">
        <f>'As Received'!E99</f>
        <v/>
      </c>
      <c r="F99" s="2">
        <f>'As Received'!F99</f>
        <v/>
      </c>
      <c r="G99" s="2">
        <f>'As Received'!G99</f>
        <v/>
      </c>
      <c r="H99" s="2">
        <f>'As Received'!H99</f>
        <v/>
      </c>
      <c r="I99" s="2">
        <f>'As Received'!I99</f>
        <v/>
      </c>
      <c r="J99" s="2">
        <f>'As Received'!J99</f>
        <v/>
      </c>
      <c r="K99" s="2">
        <f>'As Received'!K99</f>
        <v/>
      </c>
      <c r="L99" s="2">
        <f>'As Received'!L99</f>
        <v/>
      </c>
      <c r="M99" s="2">
        <f>'As Received'!M99</f>
        <v/>
      </c>
      <c r="N99" s="2">
        <f>'As Received'!N99</f>
        <v/>
      </c>
      <c r="O99" s="3">
        <f>'As Received'!O99</f>
        <v/>
      </c>
      <c r="P99" s="3">
        <f>'As Received'!P99</f>
        <v/>
      </c>
      <c r="Q99" s="3">
        <f>'As Received'!Q99</f>
        <v/>
      </c>
      <c r="R99" s="2">
        <f>IF(K99="","",K99-(L99+M99+N99))</f>
        <v/>
      </c>
      <c r="S99" s="2">
        <f>IF(J99="","",K99-ROUND(0.8*J99,0))</f>
        <v/>
      </c>
    </row>
    <row r="100">
      <c r="A100" s="2">
        <f>'As Received'!A100</f>
        <v/>
      </c>
      <c r="B100" s="2">
        <f>'As Received'!B100</f>
        <v/>
      </c>
      <c r="C100" s="2">
        <f>'As Received'!C100</f>
        <v/>
      </c>
      <c r="D100" s="3">
        <f>'As Received'!D100</f>
        <v/>
      </c>
      <c r="E100" s="2">
        <f>'As Received'!E100</f>
        <v/>
      </c>
      <c r="F100" s="2">
        <f>'As Received'!F100</f>
        <v/>
      </c>
      <c r="G100" s="2">
        <f>'As Received'!G100</f>
        <v/>
      </c>
      <c r="H100" s="2">
        <f>'As Received'!H100</f>
        <v/>
      </c>
      <c r="I100" s="2">
        <f>'As Received'!I100</f>
        <v/>
      </c>
      <c r="J100" s="2">
        <f>'As Received'!J100</f>
        <v/>
      </c>
      <c r="K100" s="2">
        <f>'As Received'!K100</f>
        <v/>
      </c>
      <c r="L100" s="2">
        <f>'As Received'!L100</f>
        <v/>
      </c>
      <c r="M100" s="2">
        <f>'As Received'!M100</f>
        <v/>
      </c>
      <c r="N100" s="2">
        <f>'As Received'!N100</f>
        <v/>
      </c>
      <c r="O100" s="3">
        <f>'As Received'!O100</f>
        <v/>
      </c>
      <c r="P100" s="3">
        <f>'As Received'!P100</f>
        <v/>
      </c>
      <c r="Q100" s="3">
        <f>'As Received'!Q100</f>
        <v/>
      </c>
      <c r="R100" s="2">
        <f>IF(K100="","",K100-(L100+M100+N100))</f>
        <v/>
      </c>
      <c r="S100" s="2">
        <f>IF(J100="","",K100-ROUND(0.8*J100,0))</f>
        <v/>
      </c>
    </row>
    <row r="101">
      <c r="A101" s="2">
        <f>'As Received'!A101</f>
        <v/>
      </c>
      <c r="B101" s="2">
        <f>'As Received'!B101</f>
        <v/>
      </c>
      <c r="C101" s="2">
        <f>'As Received'!C101</f>
        <v/>
      </c>
      <c r="D101" s="3">
        <f>'As Received'!D101</f>
        <v/>
      </c>
      <c r="E101" s="2">
        <f>'As Received'!E101</f>
        <v/>
      </c>
      <c r="F101" s="2">
        <f>'As Received'!F101</f>
        <v/>
      </c>
      <c r="G101" s="2">
        <f>'As Received'!G101</f>
        <v/>
      </c>
      <c r="H101" s="2">
        <f>'As Received'!H101</f>
        <v/>
      </c>
      <c r="I101" s="2">
        <f>'As Received'!I101</f>
        <v/>
      </c>
      <c r="J101" s="2">
        <f>'As Received'!J101</f>
        <v/>
      </c>
      <c r="K101" s="2">
        <f>'As Received'!K101</f>
        <v/>
      </c>
      <c r="L101" s="2">
        <f>'As Received'!L101</f>
        <v/>
      </c>
      <c r="M101" s="2">
        <f>'As Received'!M101</f>
        <v/>
      </c>
      <c r="N101" s="2">
        <f>'As Received'!N101</f>
        <v/>
      </c>
      <c r="O101" s="3">
        <f>'As Received'!O101</f>
        <v/>
      </c>
      <c r="P101" s="3">
        <f>'As Received'!P101</f>
        <v/>
      </c>
      <c r="Q101" s="3">
        <f>'As Received'!Q101</f>
        <v/>
      </c>
      <c r="R101" s="2">
        <f>IF(K101="","",K101-(L101+M101+N101))</f>
        <v/>
      </c>
      <c r="S101" s="2">
        <f>IF(J101="","",K101-ROUND(0.8*J101,0))</f>
        <v/>
      </c>
    </row>
    <row r="102">
      <c r="A102" s="2">
        <f>'As Received'!A102</f>
        <v/>
      </c>
      <c r="B102" s="2">
        <f>'As Received'!B102</f>
        <v/>
      </c>
      <c r="C102" s="2">
        <f>'As Received'!C102</f>
        <v/>
      </c>
      <c r="D102" s="3">
        <f>'As Received'!D102</f>
        <v/>
      </c>
      <c r="E102" s="2">
        <f>'As Received'!E102</f>
        <v/>
      </c>
      <c r="F102" s="2">
        <f>'As Received'!F102</f>
        <v/>
      </c>
      <c r="G102" s="2">
        <f>'As Received'!G102</f>
        <v/>
      </c>
      <c r="H102" s="2">
        <f>'As Received'!H102</f>
        <v/>
      </c>
      <c r="I102" s="2">
        <f>'As Received'!I102</f>
        <v/>
      </c>
      <c r="J102" s="2">
        <f>'As Received'!J102</f>
        <v/>
      </c>
      <c r="K102" s="2">
        <f>'As Received'!K102</f>
        <v/>
      </c>
      <c r="L102" s="2">
        <f>'As Received'!L102</f>
        <v/>
      </c>
      <c r="M102" s="2">
        <f>'As Received'!M102</f>
        <v/>
      </c>
      <c r="N102" s="2">
        <f>'As Received'!N102</f>
        <v/>
      </c>
      <c r="O102" s="3">
        <f>'As Received'!O102</f>
        <v/>
      </c>
      <c r="P102" s="3">
        <f>'As Received'!P102</f>
        <v/>
      </c>
      <c r="Q102" s="3">
        <f>'As Received'!Q102</f>
        <v/>
      </c>
      <c r="R102" s="2">
        <f>IF(K102="","",K102-(L102+M102+N102))</f>
        <v/>
      </c>
      <c r="S102" s="2">
        <f>IF(J102="","",K102-ROUND(0.8*J102,0))</f>
        <v/>
      </c>
    </row>
    <row r="103">
      <c r="A103" s="2">
        <f>'As Received'!A103</f>
        <v/>
      </c>
      <c r="B103" s="2">
        <f>'As Received'!B103</f>
        <v/>
      </c>
      <c r="C103" s="2">
        <f>'As Received'!C103</f>
        <v/>
      </c>
      <c r="D103" s="3">
        <f>'As Received'!D103</f>
        <v/>
      </c>
      <c r="E103" s="2">
        <f>'As Received'!E103</f>
        <v/>
      </c>
      <c r="F103" s="2">
        <f>'As Received'!F103</f>
        <v/>
      </c>
      <c r="G103" s="2">
        <f>'As Received'!G103</f>
        <v/>
      </c>
      <c r="H103" s="2">
        <f>'As Received'!H103</f>
        <v/>
      </c>
      <c r="I103" s="2">
        <f>'As Received'!I103</f>
        <v/>
      </c>
      <c r="J103" s="2">
        <f>'As Received'!J103</f>
        <v/>
      </c>
      <c r="K103" s="2">
        <f>'As Received'!K103</f>
        <v/>
      </c>
      <c r="L103" s="2">
        <f>'As Received'!L103</f>
        <v/>
      </c>
      <c r="M103" s="2">
        <f>'As Received'!M103</f>
        <v/>
      </c>
      <c r="N103" s="2">
        <f>'As Received'!N103</f>
        <v/>
      </c>
      <c r="O103" s="3">
        <f>'As Received'!O103</f>
        <v/>
      </c>
      <c r="P103" s="3">
        <f>'As Received'!P103</f>
        <v/>
      </c>
      <c r="Q103" s="3">
        <f>'As Received'!Q103</f>
        <v/>
      </c>
      <c r="R103" s="2">
        <f>IF(K103="","",K103-(L103+M103+N103))</f>
        <v/>
      </c>
      <c r="S103" s="2">
        <f>IF(J103="","",K103-ROUND(0.8*J103,0))</f>
        <v/>
      </c>
    </row>
    <row r="104">
      <c r="A104" s="2">
        <f>'As Received'!A104</f>
        <v/>
      </c>
      <c r="B104" s="2">
        <f>'As Received'!B104</f>
        <v/>
      </c>
      <c r="C104" s="2">
        <f>'As Received'!C104</f>
        <v/>
      </c>
      <c r="D104" s="3">
        <f>'As Received'!D104</f>
        <v/>
      </c>
      <c r="E104" s="2">
        <f>'As Received'!E104</f>
        <v/>
      </c>
      <c r="F104" s="2">
        <f>'As Received'!F104</f>
        <v/>
      </c>
      <c r="G104" s="2">
        <f>'As Received'!G104</f>
        <v/>
      </c>
      <c r="H104" s="2">
        <f>'As Received'!H104</f>
        <v/>
      </c>
      <c r="I104" s="2">
        <f>'As Received'!I104</f>
        <v/>
      </c>
      <c r="J104" s="2">
        <f>'As Received'!J104</f>
        <v/>
      </c>
      <c r="K104" s="2">
        <f>'As Received'!K104</f>
        <v/>
      </c>
      <c r="L104" s="2">
        <f>'As Received'!L104</f>
        <v/>
      </c>
      <c r="M104" s="2">
        <f>'As Received'!M104</f>
        <v/>
      </c>
      <c r="N104" s="2">
        <f>'As Received'!N104</f>
        <v/>
      </c>
      <c r="O104" s="3">
        <f>'As Received'!O104</f>
        <v/>
      </c>
      <c r="P104" s="3">
        <f>'As Received'!P104</f>
        <v/>
      </c>
      <c r="Q104" s="3">
        <f>'As Received'!Q104</f>
        <v/>
      </c>
      <c r="R104" s="2">
        <f>IF(K104="","",K104-(L104+M104+N104))</f>
        <v/>
      </c>
      <c r="S104" s="2">
        <f>IF(J104="","",K104-ROUND(0.8*J104,0))</f>
        <v/>
      </c>
    </row>
    <row r="105">
      <c r="A105" s="2">
        <f>'As Received'!A105</f>
        <v/>
      </c>
      <c r="B105" s="2">
        <f>'As Received'!B105</f>
        <v/>
      </c>
      <c r="C105" s="2">
        <f>'As Received'!C105</f>
        <v/>
      </c>
      <c r="D105" s="3">
        <f>'As Received'!D105</f>
        <v/>
      </c>
      <c r="E105" s="2">
        <f>'As Received'!E105</f>
        <v/>
      </c>
      <c r="F105" s="2">
        <f>'As Received'!F105</f>
        <v/>
      </c>
      <c r="G105" s="2">
        <f>'As Received'!G105</f>
        <v/>
      </c>
      <c r="H105" s="2">
        <f>'As Received'!H105</f>
        <v/>
      </c>
      <c r="I105" s="2">
        <f>'As Received'!I105</f>
        <v/>
      </c>
      <c r="J105" s="2">
        <f>'As Received'!J105</f>
        <v/>
      </c>
      <c r="K105" s="2">
        <f>'As Received'!K105</f>
        <v/>
      </c>
      <c r="L105" s="2">
        <f>'As Received'!L105</f>
        <v/>
      </c>
      <c r="M105" s="2">
        <f>'As Received'!M105</f>
        <v/>
      </c>
      <c r="N105" s="2">
        <f>'As Received'!N105</f>
        <v/>
      </c>
      <c r="O105" s="3">
        <f>'As Received'!O105</f>
        <v/>
      </c>
      <c r="P105" s="3">
        <f>'As Received'!P105</f>
        <v/>
      </c>
      <c r="Q105" s="3">
        <f>'As Received'!Q105</f>
        <v/>
      </c>
      <c r="R105" s="2">
        <f>IF(K105="","",K105-(L105+M105+N105))</f>
        <v/>
      </c>
      <c r="S105" s="2">
        <f>IF(J105="","",K105-ROUND(0.8*J105,0))</f>
        <v/>
      </c>
    </row>
    <row r="106">
      <c r="A106" s="2">
        <f>'As Received'!A106</f>
        <v/>
      </c>
      <c r="B106" s="2">
        <f>'As Received'!B106</f>
        <v/>
      </c>
      <c r="C106" s="2">
        <f>'As Received'!C106</f>
        <v/>
      </c>
      <c r="D106" s="3">
        <f>'As Received'!D106</f>
        <v/>
      </c>
      <c r="E106" s="2">
        <f>'As Received'!E106</f>
        <v/>
      </c>
      <c r="F106" s="2">
        <f>'As Received'!F106</f>
        <v/>
      </c>
      <c r="G106" s="2">
        <f>'As Received'!G106</f>
        <v/>
      </c>
      <c r="H106" s="2">
        <f>'As Received'!H106</f>
        <v/>
      </c>
      <c r="I106" s="2">
        <f>'As Received'!I106</f>
        <v/>
      </c>
      <c r="J106" s="2">
        <f>'As Received'!J106</f>
        <v/>
      </c>
      <c r="K106" s="2">
        <f>'As Received'!K106</f>
        <v/>
      </c>
      <c r="L106" s="2">
        <f>'As Received'!L106</f>
        <v/>
      </c>
      <c r="M106" s="2">
        <f>'As Received'!M106</f>
        <v/>
      </c>
      <c r="N106" s="2">
        <f>'As Received'!N106</f>
        <v/>
      </c>
      <c r="O106" s="3">
        <f>'As Received'!O106</f>
        <v/>
      </c>
      <c r="P106" s="3">
        <f>'As Received'!P106</f>
        <v/>
      </c>
      <c r="Q106" s="3">
        <f>'As Received'!Q106</f>
        <v/>
      </c>
      <c r="R106" s="2">
        <f>IF(K106="","",K106-(L106+M106+N106))</f>
        <v/>
      </c>
      <c r="S106" s="2">
        <f>IF(J106="","",K106-ROUND(0.8*J106,0))</f>
        <v/>
      </c>
    </row>
    <row r="107">
      <c r="A107" s="2">
        <f>'As Received'!A107</f>
        <v/>
      </c>
      <c r="B107" s="2">
        <f>'As Received'!B107</f>
        <v/>
      </c>
      <c r="C107" s="2">
        <f>'As Received'!C107</f>
        <v/>
      </c>
      <c r="D107" s="3">
        <f>'As Received'!D107</f>
        <v/>
      </c>
      <c r="E107" s="2">
        <f>'As Received'!E107</f>
        <v/>
      </c>
      <c r="F107" s="2">
        <f>'As Received'!F107</f>
        <v/>
      </c>
      <c r="G107" s="2">
        <f>'As Received'!G107</f>
        <v/>
      </c>
      <c r="H107" s="2">
        <f>'As Received'!H107</f>
        <v/>
      </c>
      <c r="I107" s="2">
        <f>'As Received'!I107</f>
        <v/>
      </c>
      <c r="J107" s="2">
        <f>'As Received'!J107</f>
        <v/>
      </c>
      <c r="K107" s="2">
        <f>'As Received'!K107</f>
        <v/>
      </c>
      <c r="L107" s="2">
        <f>'As Received'!L107</f>
        <v/>
      </c>
      <c r="M107" s="2">
        <f>'As Received'!M107</f>
        <v/>
      </c>
      <c r="N107" s="2">
        <f>'As Received'!N107</f>
        <v/>
      </c>
      <c r="O107" s="3">
        <f>'As Received'!O107</f>
        <v/>
      </c>
      <c r="P107" s="3">
        <f>'As Received'!P107</f>
        <v/>
      </c>
      <c r="Q107" s="3">
        <f>'As Received'!Q107</f>
        <v/>
      </c>
      <c r="R107" s="2">
        <f>IF(K107="","",K107-(L107+M107+N107))</f>
        <v/>
      </c>
      <c r="S107" s="2">
        <f>IF(J107="","",K107-ROUND(0.8*J107,0))</f>
        <v/>
      </c>
    </row>
    <row r="108">
      <c r="A108" s="2">
        <f>'As Received'!A108</f>
        <v/>
      </c>
      <c r="B108" s="2">
        <f>'As Received'!B108</f>
        <v/>
      </c>
      <c r="C108" s="2">
        <f>'As Received'!C108</f>
        <v/>
      </c>
      <c r="D108" s="3">
        <f>'As Received'!D108</f>
        <v/>
      </c>
      <c r="E108" s="2">
        <f>'As Received'!E108</f>
        <v/>
      </c>
      <c r="F108" s="2">
        <f>'As Received'!F108</f>
        <v/>
      </c>
      <c r="G108" s="2">
        <f>'As Received'!G108</f>
        <v/>
      </c>
      <c r="H108" s="2">
        <f>'As Received'!H108</f>
        <v/>
      </c>
      <c r="I108" s="2">
        <f>'As Received'!I108</f>
        <v/>
      </c>
      <c r="J108" s="2">
        <f>'As Received'!J108</f>
        <v/>
      </c>
      <c r="K108" s="2">
        <f>'As Received'!K108</f>
        <v/>
      </c>
      <c r="L108" s="2">
        <f>'As Received'!L108</f>
        <v/>
      </c>
      <c r="M108" s="2">
        <f>'As Received'!M108</f>
        <v/>
      </c>
      <c r="N108" s="2">
        <f>'As Received'!N108</f>
        <v/>
      </c>
      <c r="O108" s="3">
        <f>'As Received'!O108</f>
        <v/>
      </c>
      <c r="P108" s="3">
        <f>'As Received'!P108</f>
        <v/>
      </c>
      <c r="Q108" s="3">
        <f>'As Received'!Q108</f>
        <v/>
      </c>
      <c r="R108" s="2">
        <f>IF(K108="","",K108-(L108+M108+N108))</f>
        <v/>
      </c>
      <c r="S108" s="2">
        <f>IF(J108="","",K108-ROUND(0.8*J108,0))</f>
        <v/>
      </c>
    </row>
    <row r="109">
      <c r="A109" s="2">
        <f>'As Received'!A109</f>
        <v/>
      </c>
      <c r="B109" s="2">
        <f>'As Received'!B109</f>
        <v/>
      </c>
      <c r="C109" s="2">
        <f>'As Received'!C109</f>
        <v/>
      </c>
      <c r="D109" s="3">
        <f>'As Received'!D109</f>
        <v/>
      </c>
      <c r="E109" s="2">
        <f>'As Received'!E109</f>
        <v/>
      </c>
      <c r="F109" s="2">
        <f>'As Received'!F109</f>
        <v/>
      </c>
      <c r="G109" s="2">
        <f>'As Received'!G109</f>
        <v/>
      </c>
      <c r="H109" s="2">
        <f>'As Received'!H109</f>
        <v/>
      </c>
      <c r="I109" s="2">
        <f>'As Received'!I109</f>
        <v/>
      </c>
      <c r="J109" s="2">
        <f>'As Received'!J109</f>
        <v/>
      </c>
      <c r="K109" s="2">
        <f>'As Received'!K109</f>
        <v/>
      </c>
      <c r="L109" s="2">
        <f>'As Received'!L109</f>
        <v/>
      </c>
      <c r="M109" s="2">
        <f>'As Received'!M109</f>
        <v/>
      </c>
      <c r="N109" s="2">
        <f>'As Received'!N109</f>
        <v/>
      </c>
      <c r="O109" s="3">
        <f>'As Received'!O109</f>
        <v/>
      </c>
      <c r="P109" s="3">
        <f>'As Received'!P109</f>
        <v/>
      </c>
      <c r="Q109" s="3">
        <f>'As Received'!Q109</f>
        <v/>
      </c>
      <c r="R109" s="2">
        <f>IF(K109="","",K109-(L109+M109+N109))</f>
        <v/>
      </c>
      <c r="S109" s="2">
        <f>IF(J109="","",K109-ROUND(0.8*J109,0))</f>
        <v/>
      </c>
    </row>
    <row r="110">
      <c r="A110" s="2">
        <f>'As Received'!A110</f>
        <v/>
      </c>
      <c r="B110" s="2">
        <f>'As Received'!B110</f>
        <v/>
      </c>
      <c r="C110" s="2">
        <f>'As Received'!C110</f>
        <v/>
      </c>
      <c r="D110" s="3">
        <f>'As Received'!D110</f>
        <v/>
      </c>
      <c r="E110" s="2">
        <f>'As Received'!E110</f>
        <v/>
      </c>
      <c r="F110" s="2">
        <f>'As Received'!F110</f>
        <v/>
      </c>
      <c r="G110" s="2">
        <f>'As Received'!G110</f>
        <v/>
      </c>
      <c r="H110" s="2">
        <f>'As Received'!H110</f>
        <v/>
      </c>
      <c r="I110" s="2">
        <f>'As Received'!I110</f>
        <v/>
      </c>
      <c r="J110" s="2">
        <f>'As Received'!J110</f>
        <v/>
      </c>
      <c r="K110" s="2">
        <f>'As Received'!K110</f>
        <v/>
      </c>
      <c r="L110" s="2">
        <f>'As Received'!L110</f>
        <v/>
      </c>
      <c r="M110" s="2">
        <f>'As Received'!M110</f>
        <v/>
      </c>
      <c r="N110" s="2">
        <f>'As Received'!N110</f>
        <v/>
      </c>
      <c r="O110" s="3">
        <f>'As Received'!O110</f>
        <v/>
      </c>
      <c r="P110" s="3">
        <f>'As Received'!P110</f>
        <v/>
      </c>
      <c r="Q110" s="3">
        <f>'As Received'!Q110</f>
        <v/>
      </c>
      <c r="R110" s="2">
        <f>IF(K110="","",K110-(L110+M110+N110))</f>
        <v/>
      </c>
      <c r="S110" s="2">
        <f>IF(J110="","",K110-ROUND(0.8*J110,0))</f>
        <v/>
      </c>
    </row>
    <row r="111">
      <c r="A111" s="2">
        <f>'As Received'!A111</f>
        <v/>
      </c>
      <c r="B111" s="2">
        <f>'As Received'!B111</f>
        <v/>
      </c>
      <c r="C111" s="2">
        <f>'As Received'!C111</f>
        <v/>
      </c>
      <c r="D111" s="3">
        <f>'As Received'!D111</f>
        <v/>
      </c>
      <c r="E111" s="2">
        <f>'As Received'!E111</f>
        <v/>
      </c>
      <c r="F111" s="2">
        <f>'As Received'!F111</f>
        <v/>
      </c>
      <c r="G111" s="2">
        <f>'As Received'!G111</f>
        <v/>
      </c>
      <c r="H111" s="2">
        <f>'As Received'!H111</f>
        <v/>
      </c>
      <c r="I111" s="2">
        <f>'As Received'!I111</f>
        <v/>
      </c>
      <c r="J111" s="2">
        <f>'As Received'!J111</f>
        <v/>
      </c>
      <c r="K111" s="2">
        <f>'As Received'!K111</f>
        <v/>
      </c>
      <c r="L111" s="2">
        <f>'As Received'!L111</f>
        <v/>
      </c>
      <c r="M111" s="2">
        <f>'As Received'!M111</f>
        <v/>
      </c>
      <c r="N111" s="2">
        <f>'As Received'!N111</f>
        <v/>
      </c>
      <c r="O111" s="3">
        <f>'As Received'!O111</f>
        <v/>
      </c>
      <c r="P111" s="3">
        <f>'As Received'!P111</f>
        <v/>
      </c>
      <c r="Q111" s="3">
        <f>'As Received'!Q111</f>
        <v/>
      </c>
      <c r="R111" s="2">
        <f>IF(K111="","",K111-(L111+M111+N111))</f>
        <v/>
      </c>
      <c r="S111" s="2">
        <f>IF(J111="","",K111-ROUND(0.8*J111,0))</f>
        <v/>
      </c>
    </row>
    <row r="112">
      <c r="A112" s="2">
        <f>'As Received'!A112</f>
        <v/>
      </c>
      <c r="B112" s="2">
        <f>'As Received'!B112</f>
        <v/>
      </c>
      <c r="C112" s="2">
        <f>'As Received'!C112</f>
        <v/>
      </c>
      <c r="D112" s="3">
        <f>'As Received'!D112</f>
        <v/>
      </c>
      <c r="E112" s="2">
        <f>'As Received'!E112</f>
        <v/>
      </c>
      <c r="F112" s="2">
        <f>'As Received'!F112</f>
        <v/>
      </c>
      <c r="G112" s="2">
        <f>'As Received'!G112</f>
        <v/>
      </c>
      <c r="H112" s="2">
        <f>'As Received'!H112</f>
        <v/>
      </c>
      <c r="I112" s="2">
        <f>'As Received'!I112</f>
        <v/>
      </c>
      <c r="J112" s="2">
        <f>'As Received'!J112</f>
        <v/>
      </c>
      <c r="K112" s="2">
        <f>'As Received'!K112</f>
        <v/>
      </c>
      <c r="L112" s="2">
        <f>'As Received'!L112</f>
        <v/>
      </c>
      <c r="M112" s="2">
        <f>'As Received'!M112</f>
        <v/>
      </c>
      <c r="N112" s="2">
        <f>'As Received'!N112</f>
        <v/>
      </c>
      <c r="O112" s="3">
        <f>'As Received'!O112</f>
        <v/>
      </c>
      <c r="P112" s="3">
        <f>'As Received'!P112</f>
        <v/>
      </c>
      <c r="Q112" s="3">
        <f>'As Received'!Q112</f>
        <v/>
      </c>
      <c r="R112" s="2">
        <f>IF(K112="","",K112-(L112+M112+N112))</f>
        <v/>
      </c>
      <c r="S112" s="2">
        <f>IF(J112="","",K112-ROUND(0.8*J112,0))</f>
        <v/>
      </c>
    </row>
    <row r="113">
      <c r="A113" s="2">
        <f>'As Received'!A113</f>
        <v/>
      </c>
      <c r="B113" s="2">
        <f>'As Received'!B113</f>
        <v/>
      </c>
      <c r="C113" s="2">
        <f>'As Received'!C113</f>
        <v/>
      </c>
      <c r="D113" s="3">
        <f>'As Received'!D113</f>
        <v/>
      </c>
      <c r="E113" s="2">
        <f>'As Received'!E113</f>
        <v/>
      </c>
      <c r="F113" s="2">
        <f>'As Received'!F113</f>
        <v/>
      </c>
      <c r="G113" s="2">
        <f>'As Received'!G113</f>
        <v/>
      </c>
      <c r="H113" s="2">
        <f>'As Received'!H113</f>
        <v/>
      </c>
      <c r="I113" s="2">
        <f>'As Received'!I113</f>
        <v/>
      </c>
      <c r="J113" s="2">
        <f>'As Received'!J113</f>
        <v/>
      </c>
      <c r="K113" s="2">
        <f>'As Received'!K113</f>
        <v/>
      </c>
      <c r="L113" s="2">
        <f>'As Received'!L113</f>
        <v/>
      </c>
      <c r="M113" s="2">
        <f>'As Received'!M113</f>
        <v/>
      </c>
      <c r="N113" s="2">
        <f>'As Received'!N113</f>
        <v/>
      </c>
      <c r="O113" s="3">
        <f>'As Received'!O113</f>
        <v/>
      </c>
      <c r="P113" s="3">
        <f>'As Received'!P113</f>
        <v/>
      </c>
      <c r="Q113" s="3">
        <f>'As Received'!Q113</f>
        <v/>
      </c>
      <c r="R113" s="2">
        <f>IF(K113="","",K113-(L113+M113+N113))</f>
        <v/>
      </c>
      <c r="S113" s="2">
        <f>IF(J113="","",K113-ROUND(0.8*J113,0))</f>
        <v/>
      </c>
    </row>
    <row r="114">
      <c r="A114" s="2">
        <f>'As Received'!A114</f>
        <v/>
      </c>
      <c r="B114" s="2">
        <f>'As Received'!B114</f>
        <v/>
      </c>
      <c r="C114" s="2">
        <f>'As Received'!C114</f>
        <v/>
      </c>
      <c r="D114" s="3">
        <f>'As Received'!D114</f>
        <v/>
      </c>
      <c r="E114" s="2">
        <f>'As Received'!E114</f>
        <v/>
      </c>
      <c r="F114" s="2">
        <f>'As Received'!F114</f>
        <v/>
      </c>
      <c r="G114" s="2">
        <f>'As Received'!G114</f>
        <v/>
      </c>
      <c r="H114" s="2">
        <f>'As Received'!H114</f>
        <v/>
      </c>
      <c r="I114" s="2">
        <f>'As Received'!I114</f>
        <v/>
      </c>
      <c r="J114" s="2">
        <f>'As Received'!J114</f>
        <v/>
      </c>
      <c r="K114" s="2">
        <f>'As Received'!K114</f>
        <v/>
      </c>
      <c r="L114" s="2">
        <f>'As Received'!L114</f>
        <v/>
      </c>
      <c r="M114" s="2">
        <f>'As Received'!M114</f>
        <v/>
      </c>
      <c r="N114" s="2">
        <f>'As Received'!N114</f>
        <v/>
      </c>
      <c r="O114" s="3">
        <f>'As Received'!O114</f>
        <v/>
      </c>
      <c r="P114" s="3">
        <f>'As Received'!P114</f>
        <v/>
      </c>
      <c r="Q114" s="3">
        <f>'As Received'!Q114</f>
        <v/>
      </c>
      <c r="R114" s="2">
        <f>IF(K114="","",K114-(L114+M114+N114))</f>
        <v/>
      </c>
      <c r="S114" s="2">
        <f>IF(J114="","",K114-ROUND(0.8*J114,0))</f>
        <v/>
      </c>
    </row>
    <row r="115">
      <c r="A115" s="2">
        <f>'As Received'!A115</f>
        <v/>
      </c>
      <c r="B115" s="2">
        <f>'As Received'!B115</f>
        <v/>
      </c>
      <c r="C115" s="2">
        <f>'As Received'!C115</f>
        <v/>
      </c>
      <c r="D115" s="3">
        <f>'As Received'!D115</f>
        <v/>
      </c>
      <c r="E115" s="2">
        <f>'As Received'!E115</f>
        <v/>
      </c>
      <c r="F115" s="2">
        <f>'As Received'!F115</f>
        <v/>
      </c>
      <c r="G115" s="2">
        <f>'As Received'!G115</f>
        <v/>
      </c>
      <c r="H115" s="2">
        <f>'As Received'!H115</f>
        <v/>
      </c>
      <c r="I115" s="2">
        <f>'As Received'!I115</f>
        <v/>
      </c>
      <c r="J115" s="2">
        <f>'As Received'!J115</f>
        <v/>
      </c>
      <c r="K115" s="2">
        <f>'As Received'!K115</f>
        <v/>
      </c>
      <c r="L115" s="2">
        <f>'As Received'!L115</f>
        <v/>
      </c>
      <c r="M115" s="2">
        <f>'As Received'!M115</f>
        <v/>
      </c>
      <c r="N115" s="2">
        <f>'As Received'!N115</f>
        <v/>
      </c>
      <c r="O115" s="3">
        <f>'As Received'!O115</f>
        <v/>
      </c>
      <c r="P115" s="3">
        <f>'As Received'!P115</f>
        <v/>
      </c>
      <c r="Q115" s="3">
        <f>'As Received'!Q115</f>
        <v/>
      </c>
      <c r="R115" s="2">
        <f>IF(K115="","",K115-(L115+M115+N115))</f>
        <v/>
      </c>
      <c r="S115" s="2">
        <f>IF(J115="","",K115-ROUND(0.8*J115,0))</f>
        <v/>
      </c>
    </row>
    <row r="116">
      <c r="A116" s="2">
        <f>'As Received'!A116</f>
        <v/>
      </c>
      <c r="B116" s="2">
        <f>'As Received'!B116</f>
        <v/>
      </c>
      <c r="C116" s="2">
        <f>'As Received'!C116</f>
        <v/>
      </c>
      <c r="D116" s="3">
        <f>'As Received'!D116</f>
        <v/>
      </c>
      <c r="E116" s="2">
        <f>'As Received'!E116</f>
        <v/>
      </c>
      <c r="F116" s="2">
        <f>'As Received'!F116</f>
        <v/>
      </c>
      <c r="G116" s="2">
        <f>'As Received'!G116</f>
        <v/>
      </c>
      <c r="H116" s="2">
        <f>'As Received'!H116</f>
        <v/>
      </c>
      <c r="I116" s="2">
        <f>'As Received'!I116</f>
        <v/>
      </c>
      <c r="J116" s="2">
        <f>'As Received'!J116</f>
        <v/>
      </c>
      <c r="K116" s="2">
        <f>'As Received'!K116</f>
        <v/>
      </c>
      <c r="L116" s="2">
        <f>'As Received'!L116</f>
        <v/>
      </c>
      <c r="M116" s="2">
        <f>'As Received'!M116</f>
        <v/>
      </c>
      <c r="N116" s="2">
        <f>'As Received'!N116</f>
        <v/>
      </c>
      <c r="O116" s="3">
        <f>'As Received'!O116</f>
        <v/>
      </c>
      <c r="P116" s="3">
        <f>'As Received'!P116</f>
        <v/>
      </c>
      <c r="Q116" s="3">
        <f>'As Received'!Q116</f>
        <v/>
      </c>
      <c r="R116" s="2">
        <f>IF(K116="","",K116-(L116+M116+N116))</f>
        <v/>
      </c>
      <c r="S116" s="2">
        <f>IF(J116="","",K116-ROUND(0.8*J116,0))</f>
        <v/>
      </c>
    </row>
    <row r="117">
      <c r="A117" s="2">
        <f>'As Received'!A117</f>
        <v/>
      </c>
      <c r="B117" s="2">
        <f>'As Received'!B117</f>
        <v/>
      </c>
      <c r="C117" s="2">
        <f>'As Received'!C117</f>
        <v/>
      </c>
      <c r="D117" s="3">
        <f>'As Received'!D117</f>
        <v/>
      </c>
      <c r="E117" s="2">
        <f>'As Received'!E117</f>
        <v/>
      </c>
      <c r="F117" s="2">
        <f>'As Received'!F117</f>
        <v/>
      </c>
      <c r="G117" s="2">
        <f>'As Received'!G117</f>
        <v/>
      </c>
      <c r="H117" s="2">
        <f>'As Received'!H117</f>
        <v/>
      </c>
      <c r="I117" s="2">
        <f>'As Received'!I117</f>
        <v/>
      </c>
      <c r="J117" s="2">
        <f>'As Received'!J117</f>
        <v/>
      </c>
      <c r="K117" s="2">
        <f>'As Received'!K117</f>
        <v/>
      </c>
      <c r="L117" s="2">
        <f>'As Received'!L117</f>
        <v/>
      </c>
      <c r="M117" s="2">
        <f>'As Received'!M117</f>
        <v/>
      </c>
      <c r="N117" s="2">
        <f>'As Received'!N117</f>
        <v/>
      </c>
      <c r="O117" s="3">
        <f>'As Received'!O117</f>
        <v/>
      </c>
      <c r="P117" s="3">
        <f>'As Received'!P117</f>
        <v/>
      </c>
      <c r="Q117" s="3">
        <f>'As Received'!Q117</f>
        <v/>
      </c>
      <c r="R117" s="2">
        <f>IF(K117="","",K117-(L117+M117+N117))</f>
        <v/>
      </c>
      <c r="S117" s="2">
        <f>IF(J117="","",K117-ROUND(0.8*J117,0))</f>
        <v/>
      </c>
    </row>
    <row r="118">
      <c r="A118" s="2">
        <f>'As Received'!A118</f>
        <v/>
      </c>
      <c r="B118" s="2">
        <f>'As Received'!B118</f>
        <v/>
      </c>
      <c r="C118" s="2">
        <f>'As Received'!C118</f>
        <v/>
      </c>
      <c r="D118" s="3">
        <f>'As Received'!D118</f>
        <v/>
      </c>
      <c r="E118" s="2">
        <f>'As Received'!E118</f>
        <v/>
      </c>
      <c r="F118" s="2">
        <f>'As Received'!F118</f>
        <v/>
      </c>
      <c r="G118" s="2">
        <f>'As Received'!G118</f>
        <v/>
      </c>
      <c r="H118" s="2">
        <f>'As Received'!H118</f>
        <v/>
      </c>
      <c r="I118" s="2">
        <f>'As Received'!I118</f>
        <v/>
      </c>
      <c r="J118" s="2">
        <f>'As Received'!J118</f>
        <v/>
      </c>
      <c r="K118" s="2">
        <f>'As Received'!K118</f>
        <v/>
      </c>
      <c r="L118" s="2">
        <f>'As Received'!L118</f>
        <v/>
      </c>
      <c r="M118" s="2">
        <f>'As Received'!M118</f>
        <v/>
      </c>
      <c r="N118" s="2">
        <f>'As Received'!N118</f>
        <v/>
      </c>
      <c r="O118" s="3">
        <f>'As Received'!O118</f>
        <v/>
      </c>
      <c r="P118" s="3">
        <f>'As Received'!P118</f>
        <v/>
      </c>
      <c r="Q118" s="3">
        <f>'As Received'!Q118</f>
        <v/>
      </c>
      <c r="R118" s="2">
        <f>IF(K118="","",K118-(L118+M118+N118))</f>
        <v/>
      </c>
      <c r="S118" s="2">
        <f>IF(J118="","",K118-ROUND(0.8*J118,0))</f>
        <v/>
      </c>
    </row>
    <row r="119">
      <c r="A119" s="2">
        <f>'As Received'!A119</f>
        <v/>
      </c>
      <c r="B119" s="2">
        <f>'As Received'!B119</f>
        <v/>
      </c>
      <c r="C119" s="2">
        <f>'As Received'!C119</f>
        <v/>
      </c>
      <c r="D119" s="3">
        <f>'As Received'!D119</f>
        <v/>
      </c>
      <c r="E119" s="2">
        <f>'As Received'!E119</f>
        <v/>
      </c>
      <c r="F119" s="2">
        <f>'As Received'!F119</f>
        <v/>
      </c>
      <c r="G119" s="2">
        <f>'As Received'!G119</f>
        <v/>
      </c>
      <c r="H119" s="2">
        <f>'As Received'!H119</f>
        <v/>
      </c>
      <c r="I119" s="2">
        <f>'As Received'!I119</f>
        <v/>
      </c>
      <c r="J119" s="2">
        <f>'As Received'!J119</f>
        <v/>
      </c>
      <c r="K119" s="2">
        <f>'As Received'!K119</f>
        <v/>
      </c>
      <c r="L119" s="2">
        <f>'As Received'!L119</f>
        <v/>
      </c>
      <c r="M119" s="2">
        <f>'As Received'!M119</f>
        <v/>
      </c>
      <c r="N119" s="2">
        <f>'As Received'!N119</f>
        <v/>
      </c>
      <c r="O119" s="3">
        <f>'As Received'!O119</f>
        <v/>
      </c>
      <c r="P119" s="3">
        <f>'As Received'!P119</f>
        <v/>
      </c>
      <c r="Q119" s="3">
        <f>'As Received'!Q119</f>
        <v/>
      </c>
      <c r="R119" s="2">
        <f>IF(K119="","",K119-(L119+M119+N119))</f>
        <v/>
      </c>
      <c r="S119" s="2">
        <f>IF(J119="","",K119-ROUND(0.8*J119,0))</f>
        <v/>
      </c>
    </row>
    <row r="120">
      <c r="A120" s="2">
        <f>'As Received'!A120</f>
        <v/>
      </c>
      <c r="B120" s="2">
        <f>'As Received'!B120</f>
        <v/>
      </c>
      <c r="C120" s="2">
        <f>'As Received'!C120</f>
        <v/>
      </c>
      <c r="D120" s="3">
        <f>'As Received'!D120</f>
        <v/>
      </c>
      <c r="E120" s="2">
        <f>'As Received'!E120</f>
        <v/>
      </c>
      <c r="F120" s="2">
        <f>'As Received'!F120</f>
        <v/>
      </c>
      <c r="G120" s="2">
        <f>'As Received'!G120</f>
        <v/>
      </c>
      <c r="H120" s="2">
        <f>'As Received'!H120</f>
        <v/>
      </c>
      <c r="I120" s="2">
        <f>'As Received'!I120</f>
        <v/>
      </c>
      <c r="J120" s="2">
        <f>'As Received'!J120</f>
        <v/>
      </c>
      <c r="K120" s="2">
        <f>'As Received'!K120</f>
        <v/>
      </c>
      <c r="L120" s="2">
        <f>'As Received'!L120</f>
        <v/>
      </c>
      <c r="M120" s="2">
        <f>'As Received'!M120</f>
        <v/>
      </c>
      <c r="N120" s="2">
        <f>'As Received'!N120</f>
        <v/>
      </c>
      <c r="O120" s="3">
        <f>'As Received'!O120</f>
        <v/>
      </c>
      <c r="P120" s="3">
        <f>'As Received'!P120</f>
        <v/>
      </c>
      <c r="Q120" s="3">
        <f>'As Received'!Q120</f>
        <v/>
      </c>
      <c r="R120" s="2">
        <f>IF(K120="","",K120-(L120+M120+N120))</f>
        <v/>
      </c>
      <c r="S120" s="2">
        <f>IF(J120="","",K120-ROUND(0.8*J120,0))</f>
        <v/>
      </c>
    </row>
    <row r="121">
      <c r="A121" s="2">
        <f>'As Received'!A121</f>
        <v/>
      </c>
      <c r="B121" s="2">
        <f>'As Received'!B121</f>
        <v/>
      </c>
      <c r="C121" s="2">
        <f>'As Received'!C121</f>
        <v/>
      </c>
      <c r="D121" s="3">
        <f>'As Received'!D121</f>
        <v/>
      </c>
      <c r="E121" s="2">
        <f>'As Received'!E121</f>
        <v/>
      </c>
      <c r="F121" s="2">
        <f>'As Received'!F121</f>
        <v/>
      </c>
      <c r="G121" s="2">
        <f>'As Received'!G121</f>
        <v/>
      </c>
      <c r="H121" s="2">
        <f>'As Received'!H121</f>
        <v/>
      </c>
      <c r="I121" s="2">
        <f>'As Received'!I121</f>
        <v/>
      </c>
      <c r="J121" s="2">
        <f>'As Received'!J121</f>
        <v/>
      </c>
      <c r="K121" s="2">
        <f>'As Received'!K121</f>
        <v/>
      </c>
      <c r="L121" s="2">
        <f>'As Received'!L121</f>
        <v/>
      </c>
      <c r="M121" s="2">
        <f>'As Received'!M121</f>
        <v/>
      </c>
      <c r="N121" s="2">
        <f>'As Received'!N121</f>
        <v/>
      </c>
      <c r="O121" s="3">
        <f>'As Received'!O121</f>
        <v/>
      </c>
      <c r="P121" s="3">
        <f>'As Received'!P121</f>
        <v/>
      </c>
      <c r="Q121" s="3">
        <f>'As Received'!Q121</f>
        <v/>
      </c>
      <c r="R121" s="2">
        <f>IF(K121="","",K121-(L121+M121+N121))</f>
        <v/>
      </c>
      <c r="S121" s="2">
        <f>IF(J121="","",K121-ROUND(0.8*J121,0))</f>
        <v/>
      </c>
    </row>
    <row r="122">
      <c r="A122" s="2">
        <f>'As Received'!A122</f>
        <v/>
      </c>
      <c r="B122" s="2">
        <f>'As Received'!B122</f>
        <v/>
      </c>
      <c r="C122" s="2">
        <f>'As Received'!C122</f>
        <v/>
      </c>
      <c r="D122" s="3">
        <f>'As Received'!D122</f>
        <v/>
      </c>
      <c r="E122" s="2">
        <f>'As Received'!E122</f>
        <v/>
      </c>
      <c r="F122" s="2">
        <f>'As Received'!F122</f>
        <v/>
      </c>
      <c r="G122" s="2">
        <f>'As Received'!G122</f>
        <v/>
      </c>
      <c r="H122" s="2">
        <f>'As Received'!H122</f>
        <v/>
      </c>
      <c r="I122" s="2">
        <f>'As Received'!I122</f>
        <v/>
      </c>
      <c r="J122" s="2">
        <f>'As Received'!J122</f>
        <v/>
      </c>
      <c r="K122" s="2">
        <f>'As Received'!K122</f>
        <v/>
      </c>
      <c r="L122" s="2">
        <f>'As Received'!L122</f>
        <v/>
      </c>
      <c r="M122" s="2">
        <f>'As Received'!M122</f>
        <v/>
      </c>
      <c r="N122" s="2">
        <f>'As Received'!N122</f>
        <v/>
      </c>
      <c r="O122" s="3">
        <f>'As Received'!O122</f>
        <v/>
      </c>
      <c r="P122" s="3">
        <f>'As Received'!P122</f>
        <v/>
      </c>
      <c r="Q122" s="3">
        <f>'As Received'!Q122</f>
        <v/>
      </c>
      <c r="R122" s="2">
        <f>IF(K122="","",K122-(L122+M122+N122))</f>
        <v/>
      </c>
      <c r="S122" s="2">
        <f>IF(J122="","",K122-ROUND(0.8*J122,0))</f>
        <v/>
      </c>
    </row>
    <row r="123">
      <c r="A123" s="2">
        <f>'As Received'!A123</f>
        <v/>
      </c>
      <c r="B123" s="2">
        <f>'As Received'!B123</f>
        <v/>
      </c>
      <c r="C123" s="2">
        <f>'As Received'!C123</f>
        <v/>
      </c>
      <c r="D123" s="3">
        <f>'As Received'!D123</f>
        <v/>
      </c>
      <c r="E123" s="2">
        <f>'As Received'!E123</f>
        <v/>
      </c>
      <c r="F123" s="2">
        <f>'As Received'!F123</f>
        <v/>
      </c>
      <c r="G123" s="2">
        <f>'As Received'!G123</f>
        <v/>
      </c>
      <c r="H123" s="2">
        <f>'As Received'!H123</f>
        <v/>
      </c>
      <c r="I123" s="2">
        <f>'As Received'!I123</f>
        <v/>
      </c>
      <c r="J123" s="2">
        <f>'As Received'!J123</f>
        <v/>
      </c>
      <c r="K123" s="2">
        <f>'As Received'!K123</f>
        <v/>
      </c>
      <c r="L123" s="2">
        <f>'As Received'!L123</f>
        <v/>
      </c>
      <c r="M123" s="2">
        <f>'As Received'!M123</f>
        <v/>
      </c>
      <c r="N123" s="2">
        <f>'As Received'!N123</f>
        <v/>
      </c>
      <c r="O123" s="3">
        <f>'As Received'!O123</f>
        <v/>
      </c>
      <c r="P123" s="3">
        <f>'As Received'!P123</f>
        <v/>
      </c>
      <c r="Q123" s="3">
        <f>'As Received'!Q123</f>
        <v/>
      </c>
      <c r="R123" s="2">
        <f>IF(K123="","",K123-(L123+M123+N123))</f>
        <v/>
      </c>
      <c r="S123" s="2">
        <f>IF(J123="","",K123-ROUND(0.8*J123,0))</f>
        <v/>
      </c>
    </row>
    <row r="124">
      <c r="A124" s="2">
        <f>'As Received'!A124</f>
        <v/>
      </c>
      <c r="B124" s="2">
        <f>'As Received'!B124</f>
        <v/>
      </c>
      <c r="C124" s="2">
        <f>'As Received'!C124</f>
        <v/>
      </c>
      <c r="D124" s="3">
        <f>'As Received'!D124</f>
        <v/>
      </c>
      <c r="E124" s="2">
        <f>'As Received'!E124</f>
        <v/>
      </c>
      <c r="F124" s="2">
        <f>'As Received'!F124</f>
        <v/>
      </c>
      <c r="G124" s="2">
        <f>'As Received'!G124</f>
        <v/>
      </c>
      <c r="H124" s="2">
        <f>'As Received'!H124</f>
        <v/>
      </c>
      <c r="I124" s="2">
        <f>'As Received'!I124</f>
        <v/>
      </c>
      <c r="J124" s="2">
        <f>'As Received'!J124</f>
        <v/>
      </c>
      <c r="K124" s="2">
        <f>'As Received'!K124</f>
        <v/>
      </c>
      <c r="L124" s="2">
        <f>'As Received'!L124</f>
        <v/>
      </c>
      <c r="M124" s="2">
        <f>'As Received'!M124</f>
        <v/>
      </c>
      <c r="N124" s="2">
        <f>'As Received'!N124</f>
        <v/>
      </c>
      <c r="O124" s="3">
        <f>'As Received'!O124</f>
        <v/>
      </c>
      <c r="P124" s="3">
        <f>'As Received'!P124</f>
        <v/>
      </c>
      <c r="Q124" s="3">
        <f>'As Received'!Q124</f>
        <v/>
      </c>
      <c r="R124" s="2">
        <f>IF(K124="","",K124-(L124+M124+N124))</f>
        <v/>
      </c>
      <c r="S124" s="2">
        <f>IF(J124="","",K124-ROUND(0.8*J124,0))</f>
        <v/>
      </c>
    </row>
    <row r="125">
      <c r="A125" s="2">
        <f>'As Received'!A125</f>
        <v/>
      </c>
      <c r="B125" s="2">
        <f>'As Received'!B125</f>
        <v/>
      </c>
      <c r="C125" s="2">
        <f>'As Received'!C125</f>
        <v/>
      </c>
      <c r="D125" s="3">
        <f>'As Received'!D125</f>
        <v/>
      </c>
      <c r="E125" s="2">
        <f>'As Received'!E125</f>
        <v/>
      </c>
      <c r="F125" s="2">
        <f>'As Received'!F125</f>
        <v/>
      </c>
      <c r="G125" s="2">
        <f>'As Received'!G125</f>
        <v/>
      </c>
      <c r="H125" s="2">
        <f>'As Received'!H125</f>
        <v/>
      </c>
      <c r="I125" s="2">
        <f>'As Received'!I125</f>
        <v/>
      </c>
      <c r="J125" s="2">
        <f>'As Received'!J125</f>
        <v/>
      </c>
      <c r="K125" s="2">
        <f>'As Received'!K125</f>
        <v/>
      </c>
      <c r="L125" s="2">
        <f>'As Received'!L125</f>
        <v/>
      </c>
      <c r="M125" s="2">
        <f>'As Received'!M125</f>
        <v/>
      </c>
      <c r="N125" s="2">
        <f>'As Received'!N125</f>
        <v/>
      </c>
      <c r="O125" s="3">
        <f>'As Received'!O125</f>
        <v/>
      </c>
      <c r="P125" s="3">
        <f>'As Received'!P125</f>
        <v/>
      </c>
      <c r="Q125" s="3">
        <f>'As Received'!Q125</f>
        <v/>
      </c>
      <c r="R125" s="2">
        <f>IF(K125="","",K125-(L125+M125+N125))</f>
        <v/>
      </c>
      <c r="S125" s="2">
        <f>IF(J125="","",K125-ROUND(0.8*J125,0))</f>
        <v/>
      </c>
    </row>
    <row r="126">
      <c r="A126" s="2">
        <f>'As Received'!A126</f>
        <v/>
      </c>
      <c r="B126" s="2">
        <f>'As Received'!B126</f>
        <v/>
      </c>
      <c r="C126" s="2">
        <f>'As Received'!C126</f>
        <v/>
      </c>
      <c r="D126" s="3">
        <f>'As Received'!D126</f>
        <v/>
      </c>
      <c r="E126" s="2">
        <f>'As Received'!E126</f>
        <v/>
      </c>
      <c r="F126" s="2">
        <f>'As Received'!F126</f>
        <v/>
      </c>
      <c r="G126" s="2">
        <f>'As Received'!G126</f>
        <v/>
      </c>
      <c r="H126" s="2">
        <f>'As Received'!H126</f>
        <v/>
      </c>
      <c r="I126" s="2">
        <f>'As Received'!I126</f>
        <v/>
      </c>
      <c r="J126" s="2">
        <f>'As Received'!J126</f>
        <v/>
      </c>
      <c r="K126" s="2">
        <f>'As Received'!K126</f>
        <v/>
      </c>
      <c r="L126" s="2">
        <f>'As Received'!L126</f>
        <v/>
      </c>
      <c r="M126" s="2">
        <f>'As Received'!M126</f>
        <v/>
      </c>
      <c r="N126" s="2">
        <f>'As Received'!N126</f>
        <v/>
      </c>
      <c r="O126" s="3">
        <f>'As Received'!O126</f>
        <v/>
      </c>
      <c r="P126" s="3">
        <f>'As Received'!P126</f>
        <v/>
      </c>
      <c r="Q126" s="3">
        <f>'As Received'!Q126</f>
        <v/>
      </c>
      <c r="R126" s="2">
        <f>IF(K126="","",K126-(L126+M126+N126))</f>
        <v/>
      </c>
      <c r="S126" s="2">
        <f>IF(J126="","",K126-ROUND(0.8*J126,0))</f>
        <v/>
      </c>
    </row>
    <row r="127">
      <c r="A127" s="2">
        <f>'As Received'!A127</f>
        <v/>
      </c>
      <c r="B127" s="2">
        <f>'As Received'!B127</f>
        <v/>
      </c>
      <c r="C127" s="2">
        <f>'As Received'!C127</f>
        <v/>
      </c>
      <c r="D127" s="3">
        <f>'As Received'!D127</f>
        <v/>
      </c>
      <c r="E127" s="2">
        <f>'As Received'!E127</f>
        <v/>
      </c>
      <c r="F127" s="2">
        <f>'As Received'!F127</f>
        <v/>
      </c>
      <c r="G127" s="2">
        <f>'As Received'!G127</f>
        <v/>
      </c>
      <c r="H127" s="2">
        <f>'As Received'!H127</f>
        <v/>
      </c>
      <c r="I127" s="2">
        <f>'As Received'!I127</f>
        <v/>
      </c>
      <c r="J127" s="2">
        <f>'As Received'!J127</f>
        <v/>
      </c>
      <c r="K127" s="2">
        <f>'As Received'!K127</f>
        <v/>
      </c>
      <c r="L127" s="2">
        <f>'As Received'!L127</f>
        <v/>
      </c>
      <c r="M127" s="2">
        <f>'As Received'!M127</f>
        <v/>
      </c>
      <c r="N127" s="2">
        <f>'As Received'!N127</f>
        <v/>
      </c>
      <c r="O127" s="3">
        <f>'As Received'!O127</f>
        <v/>
      </c>
      <c r="P127" s="3">
        <f>'As Received'!P127</f>
        <v/>
      </c>
      <c r="Q127" s="3">
        <f>'As Received'!Q127</f>
        <v/>
      </c>
      <c r="R127" s="2">
        <f>IF(K127="","",K127-(L127+M127+N127))</f>
        <v/>
      </c>
      <c r="S127" s="2">
        <f>IF(J127="","",K127-ROUND(0.8*J127,0))</f>
        <v/>
      </c>
    </row>
    <row r="128">
      <c r="A128" s="2">
        <f>'As Received'!A128</f>
        <v/>
      </c>
      <c r="B128" s="2">
        <f>'As Received'!B128</f>
        <v/>
      </c>
      <c r="C128" s="2">
        <f>'As Received'!C128</f>
        <v/>
      </c>
      <c r="D128" s="3">
        <f>'As Received'!D128</f>
        <v/>
      </c>
      <c r="E128" s="2">
        <f>'As Received'!E128</f>
        <v/>
      </c>
      <c r="F128" s="2">
        <f>'As Received'!F128</f>
        <v/>
      </c>
      <c r="G128" s="2">
        <f>'As Received'!G128</f>
        <v/>
      </c>
      <c r="H128" s="2">
        <f>'As Received'!H128</f>
        <v/>
      </c>
      <c r="I128" s="2">
        <f>'As Received'!I128</f>
        <v/>
      </c>
      <c r="J128" s="2">
        <f>'As Received'!J128</f>
        <v/>
      </c>
      <c r="K128" s="2">
        <f>'As Received'!K128</f>
        <v/>
      </c>
      <c r="L128" s="2">
        <f>'As Received'!L128</f>
        <v/>
      </c>
      <c r="M128" s="2">
        <f>'As Received'!M128</f>
        <v/>
      </c>
      <c r="N128" s="2">
        <f>'As Received'!N128</f>
        <v/>
      </c>
      <c r="O128" s="3">
        <f>'As Received'!O128</f>
        <v/>
      </c>
      <c r="P128" s="3">
        <f>'As Received'!P128</f>
        <v/>
      </c>
      <c r="Q128" s="3">
        <f>'As Received'!Q128</f>
        <v/>
      </c>
      <c r="R128" s="2">
        <f>IF(K128="","",K128-(L128+M128+N128))</f>
        <v/>
      </c>
      <c r="S128" s="2">
        <f>IF(J128="","",K128-ROUND(0.8*J128,0))</f>
        <v/>
      </c>
    </row>
    <row r="129">
      <c r="A129" s="2">
        <f>'As Received'!A129</f>
        <v/>
      </c>
      <c r="B129" s="2">
        <f>'As Received'!B129</f>
        <v/>
      </c>
      <c r="C129" s="2">
        <f>'As Received'!C129</f>
        <v/>
      </c>
      <c r="D129" s="3">
        <f>'As Received'!D129</f>
        <v/>
      </c>
      <c r="E129" s="2">
        <f>'As Received'!E129</f>
        <v/>
      </c>
      <c r="F129" s="2">
        <f>'As Received'!F129</f>
        <v/>
      </c>
      <c r="G129" s="2">
        <f>'As Received'!G129</f>
        <v/>
      </c>
      <c r="H129" s="2">
        <f>'As Received'!H129</f>
        <v/>
      </c>
      <c r="I129" s="2">
        <f>'As Received'!I129</f>
        <v/>
      </c>
      <c r="J129" s="2">
        <f>'As Received'!J129</f>
        <v/>
      </c>
      <c r="K129" s="2">
        <f>'As Received'!K129</f>
        <v/>
      </c>
      <c r="L129" s="2">
        <f>'As Received'!L129</f>
        <v/>
      </c>
      <c r="M129" s="2">
        <f>'As Received'!M129</f>
        <v/>
      </c>
      <c r="N129" s="2">
        <f>'As Received'!N129</f>
        <v/>
      </c>
      <c r="O129" s="3">
        <f>'As Received'!O129</f>
        <v/>
      </c>
      <c r="P129" s="3">
        <f>'As Received'!P129</f>
        <v/>
      </c>
      <c r="Q129" s="3">
        <f>'As Received'!Q129</f>
        <v/>
      </c>
      <c r="R129" s="2">
        <f>IF(K129="","",K129-(L129+M129+N129))</f>
        <v/>
      </c>
      <c r="S129" s="2">
        <f>IF(J129="","",K129-ROUND(0.8*J129,0))</f>
        <v/>
      </c>
    </row>
    <row r="130">
      <c r="A130" s="2">
        <f>'As Received'!A130</f>
        <v/>
      </c>
      <c r="B130" s="2">
        <f>'As Received'!B130</f>
        <v/>
      </c>
      <c r="C130" s="2">
        <f>'As Received'!C130</f>
        <v/>
      </c>
      <c r="D130" s="3">
        <f>'As Received'!D130</f>
        <v/>
      </c>
      <c r="E130" s="2">
        <f>'As Received'!E130</f>
        <v/>
      </c>
      <c r="F130" s="2">
        <f>'As Received'!F130</f>
        <v/>
      </c>
      <c r="G130" s="2">
        <f>'As Received'!G130</f>
        <v/>
      </c>
      <c r="H130" s="2">
        <f>'As Received'!H130</f>
        <v/>
      </c>
      <c r="I130" s="2">
        <f>'As Received'!I130</f>
        <v/>
      </c>
      <c r="J130" s="2">
        <f>'As Received'!J130</f>
        <v/>
      </c>
      <c r="K130" s="2">
        <f>'As Received'!K130</f>
        <v/>
      </c>
      <c r="L130" s="2">
        <f>'As Received'!L130</f>
        <v/>
      </c>
      <c r="M130" s="2">
        <f>'As Received'!M130</f>
        <v/>
      </c>
      <c r="N130" s="2">
        <f>'As Received'!N130</f>
        <v/>
      </c>
      <c r="O130" s="3">
        <f>'As Received'!O130</f>
        <v/>
      </c>
      <c r="P130" s="3">
        <f>'As Received'!P130</f>
        <v/>
      </c>
      <c r="Q130" s="3">
        <f>'As Received'!Q130</f>
        <v/>
      </c>
      <c r="R130" s="2">
        <f>IF(K130="","",K130-(L130+M130+N130))</f>
        <v/>
      </c>
      <c r="S130" s="2">
        <f>IF(J130="","",K130-ROUND(0.8*J130,0))</f>
        <v/>
      </c>
    </row>
    <row r="131">
      <c r="A131" s="2">
        <f>'As Received'!A131</f>
        <v/>
      </c>
      <c r="B131" s="2">
        <f>'As Received'!B131</f>
        <v/>
      </c>
      <c r="C131" s="2">
        <f>'As Received'!C131</f>
        <v/>
      </c>
      <c r="D131" s="3">
        <f>'As Received'!D131</f>
        <v/>
      </c>
      <c r="E131" s="2">
        <f>'As Received'!E131</f>
        <v/>
      </c>
      <c r="F131" s="2">
        <f>'As Received'!F131</f>
        <v/>
      </c>
      <c r="G131" s="2">
        <f>'As Received'!G131</f>
        <v/>
      </c>
      <c r="H131" s="2">
        <f>'As Received'!H131</f>
        <v/>
      </c>
      <c r="I131" s="2">
        <f>'As Received'!I131</f>
        <v/>
      </c>
      <c r="J131" s="2">
        <f>'As Received'!J131</f>
        <v/>
      </c>
      <c r="K131" s="2">
        <f>'As Received'!K131</f>
        <v/>
      </c>
      <c r="L131" s="2">
        <f>'As Received'!L131</f>
        <v/>
      </c>
      <c r="M131" s="2">
        <f>'As Received'!M131</f>
        <v/>
      </c>
      <c r="N131" s="2">
        <f>'As Received'!N131</f>
        <v/>
      </c>
      <c r="O131" s="3">
        <f>'As Received'!O131</f>
        <v/>
      </c>
      <c r="P131" s="3">
        <f>'As Received'!P131</f>
        <v/>
      </c>
      <c r="Q131" s="3">
        <f>'As Received'!Q131</f>
        <v/>
      </c>
      <c r="R131" s="2">
        <f>IF(K131="","",K131-(L131+M131+N131))</f>
        <v/>
      </c>
      <c r="S131" s="2">
        <f>IF(J131="","",K131-ROUND(0.8*J131,0))</f>
        <v/>
      </c>
    </row>
    <row r="132">
      <c r="A132" s="2">
        <f>'As Received'!A132</f>
        <v/>
      </c>
      <c r="B132" s="2">
        <f>'As Received'!B132</f>
        <v/>
      </c>
      <c r="C132" s="2">
        <f>'As Received'!C132</f>
        <v/>
      </c>
      <c r="D132" s="3">
        <f>'As Received'!D132</f>
        <v/>
      </c>
      <c r="E132" s="2">
        <f>'As Received'!E132</f>
        <v/>
      </c>
      <c r="F132" s="2">
        <f>'As Received'!F132</f>
        <v/>
      </c>
      <c r="G132" s="2">
        <f>'As Received'!G132</f>
        <v/>
      </c>
      <c r="H132" s="2">
        <f>'As Received'!H132</f>
        <v/>
      </c>
      <c r="I132" s="2">
        <f>'As Received'!I132</f>
        <v/>
      </c>
      <c r="J132" s="2">
        <f>'As Received'!J132</f>
        <v/>
      </c>
      <c r="K132" s="2">
        <f>'As Received'!K132</f>
        <v/>
      </c>
      <c r="L132" s="2">
        <f>'As Received'!L132</f>
        <v/>
      </c>
      <c r="M132" s="2">
        <f>'As Received'!M132</f>
        <v/>
      </c>
      <c r="N132" s="2">
        <f>'As Received'!N132</f>
        <v/>
      </c>
      <c r="O132" s="3">
        <f>'As Received'!O132</f>
        <v/>
      </c>
      <c r="P132" s="3">
        <f>'As Received'!P132</f>
        <v/>
      </c>
      <c r="Q132" s="3">
        <f>'As Received'!Q132</f>
        <v/>
      </c>
      <c r="R132" s="2">
        <f>IF(K132="","",K132-(L132+M132+N132))</f>
        <v/>
      </c>
      <c r="S132" s="2">
        <f>IF(J132="","",K132-ROUND(0.8*J132,0))</f>
        <v/>
      </c>
    </row>
    <row r="133">
      <c r="A133" s="2">
        <f>'As Received'!A133</f>
        <v/>
      </c>
      <c r="B133" s="2">
        <f>'As Received'!B133</f>
        <v/>
      </c>
      <c r="C133" s="2">
        <f>'As Received'!C133</f>
        <v/>
      </c>
      <c r="D133" s="3">
        <f>'As Received'!D133</f>
        <v/>
      </c>
      <c r="E133" s="2">
        <f>'As Received'!E133</f>
        <v/>
      </c>
      <c r="F133" s="2">
        <f>'As Received'!F133</f>
        <v/>
      </c>
      <c r="G133" s="2">
        <f>'As Received'!G133</f>
        <v/>
      </c>
      <c r="H133" s="2">
        <f>'As Received'!H133</f>
        <v/>
      </c>
      <c r="I133" s="2">
        <f>'As Received'!I133</f>
        <v/>
      </c>
      <c r="J133" s="2">
        <f>'As Received'!J133</f>
        <v/>
      </c>
      <c r="K133" s="2">
        <f>'As Received'!K133</f>
        <v/>
      </c>
      <c r="L133" s="2">
        <f>'As Received'!L133</f>
        <v/>
      </c>
      <c r="M133" s="2">
        <f>'As Received'!M133</f>
        <v/>
      </c>
      <c r="N133" s="2">
        <f>'As Received'!N133</f>
        <v/>
      </c>
      <c r="O133" s="3">
        <f>'As Received'!O133</f>
        <v/>
      </c>
      <c r="P133" s="3">
        <f>'As Received'!P133</f>
        <v/>
      </c>
      <c r="Q133" s="3">
        <f>'As Received'!Q133</f>
        <v/>
      </c>
      <c r="R133" s="2">
        <f>IF(K133="","",K133-(L133+M133+N133))</f>
        <v/>
      </c>
      <c r="S133" s="2">
        <f>IF(J133="","",K133-ROUND(0.8*J133,0))</f>
        <v/>
      </c>
    </row>
    <row r="134">
      <c r="A134" s="2">
        <f>'As Received'!A134</f>
        <v/>
      </c>
      <c r="B134" s="2">
        <f>'As Received'!B134</f>
        <v/>
      </c>
      <c r="C134" s="2">
        <f>'As Received'!C134</f>
        <v/>
      </c>
      <c r="D134" s="3">
        <f>'As Received'!D134</f>
        <v/>
      </c>
      <c r="E134" s="2">
        <f>'As Received'!E134</f>
        <v/>
      </c>
      <c r="F134" s="2">
        <f>'As Received'!F134</f>
        <v/>
      </c>
      <c r="G134" s="2">
        <f>'As Received'!G134</f>
        <v/>
      </c>
      <c r="H134" s="2">
        <f>'As Received'!H134</f>
        <v/>
      </c>
      <c r="I134" s="2">
        <f>'As Received'!I134</f>
        <v/>
      </c>
      <c r="J134" s="2">
        <f>'As Received'!J134</f>
        <v/>
      </c>
      <c r="K134" s="2">
        <f>'As Received'!K134</f>
        <v/>
      </c>
      <c r="L134" s="2">
        <f>'As Received'!L134</f>
        <v/>
      </c>
      <c r="M134" s="2">
        <f>'As Received'!M134</f>
        <v/>
      </c>
      <c r="N134" s="2">
        <f>'As Received'!N134</f>
        <v/>
      </c>
      <c r="O134" s="3">
        <f>'As Received'!O134</f>
        <v/>
      </c>
      <c r="P134" s="3">
        <f>'As Received'!P134</f>
        <v/>
      </c>
      <c r="Q134" s="3">
        <f>'As Received'!Q134</f>
        <v/>
      </c>
      <c r="R134" s="2">
        <f>IF(K134="","",K134-(L134+M134+N134))</f>
        <v/>
      </c>
      <c r="S134" s="2">
        <f>IF(J134="","",K134-ROUND(0.8*J134,0))</f>
        <v/>
      </c>
    </row>
    <row r="135">
      <c r="A135" s="2">
        <f>'As Received'!A135</f>
        <v/>
      </c>
      <c r="B135" s="2">
        <f>'As Received'!B135</f>
        <v/>
      </c>
      <c r="C135" s="2">
        <f>'As Received'!C135</f>
        <v/>
      </c>
      <c r="D135" s="3">
        <f>'As Received'!D135</f>
        <v/>
      </c>
      <c r="E135" s="2">
        <f>'As Received'!E135</f>
        <v/>
      </c>
      <c r="F135" s="2">
        <f>'As Received'!F135</f>
        <v/>
      </c>
      <c r="G135" s="2">
        <f>'As Received'!G135</f>
        <v/>
      </c>
      <c r="H135" s="2">
        <f>'As Received'!H135</f>
        <v/>
      </c>
      <c r="I135" s="2">
        <f>'As Received'!I135</f>
        <v/>
      </c>
      <c r="J135" s="2">
        <f>'As Received'!J135</f>
        <v/>
      </c>
      <c r="K135" s="2">
        <f>'As Received'!K135</f>
        <v/>
      </c>
      <c r="L135" s="2">
        <f>'As Received'!L135</f>
        <v/>
      </c>
      <c r="M135" s="2">
        <f>'As Received'!M135</f>
        <v/>
      </c>
      <c r="N135" s="2">
        <f>'As Received'!N135</f>
        <v/>
      </c>
      <c r="O135" s="3">
        <f>'As Received'!O135</f>
        <v/>
      </c>
      <c r="P135" s="3">
        <f>'As Received'!P135</f>
        <v/>
      </c>
      <c r="Q135" s="3">
        <f>'As Received'!Q135</f>
        <v/>
      </c>
      <c r="R135" s="2">
        <f>IF(K135="","",K135-(L135+M135+N135))</f>
        <v/>
      </c>
      <c r="S135" s="2">
        <f>IF(J135="","",K135-ROUND(0.8*J135,0))</f>
        <v/>
      </c>
    </row>
    <row r="136">
      <c r="A136" s="2">
        <f>'As Received'!A136</f>
        <v/>
      </c>
      <c r="B136" s="2">
        <f>'As Received'!B136</f>
        <v/>
      </c>
      <c r="C136" s="2">
        <f>'As Received'!C136</f>
        <v/>
      </c>
      <c r="D136" s="3">
        <f>'As Received'!D136</f>
        <v/>
      </c>
      <c r="E136" s="2">
        <f>'As Received'!E136</f>
        <v/>
      </c>
      <c r="F136" s="2">
        <f>'As Received'!F136</f>
        <v/>
      </c>
      <c r="G136" s="2">
        <f>'As Received'!G136</f>
        <v/>
      </c>
      <c r="H136" s="2">
        <f>'As Received'!H136</f>
        <v/>
      </c>
      <c r="I136" s="2">
        <f>'As Received'!I136</f>
        <v/>
      </c>
      <c r="J136" s="2">
        <f>'As Received'!J136</f>
        <v/>
      </c>
      <c r="K136" s="2">
        <f>'As Received'!K136</f>
        <v/>
      </c>
      <c r="L136" s="2">
        <f>'As Received'!L136</f>
        <v/>
      </c>
      <c r="M136" s="2">
        <f>'As Received'!M136</f>
        <v/>
      </c>
      <c r="N136" s="2">
        <f>'As Received'!N136</f>
        <v/>
      </c>
      <c r="O136" s="3">
        <f>'As Received'!O136</f>
        <v/>
      </c>
      <c r="P136" s="3">
        <f>'As Received'!P136</f>
        <v/>
      </c>
      <c r="Q136" s="3">
        <f>'As Received'!Q136</f>
        <v/>
      </c>
      <c r="R136" s="2">
        <f>IF(K136="","",K136-(L136+M136+N136))</f>
        <v/>
      </c>
      <c r="S136" s="2">
        <f>IF(J136="","",K136-ROUND(0.8*J136,0))</f>
        <v/>
      </c>
    </row>
    <row r="137">
      <c r="A137" s="2">
        <f>'As Received'!A137</f>
        <v/>
      </c>
      <c r="B137" s="2">
        <f>'As Received'!B137</f>
        <v/>
      </c>
      <c r="C137" s="2">
        <f>'As Received'!C137</f>
        <v/>
      </c>
      <c r="D137" s="3">
        <f>'As Received'!D137</f>
        <v/>
      </c>
      <c r="E137" s="2">
        <f>'As Received'!E137</f>
        <v/>
      </c>
      <c r="F137" s="2">
        <f>'As Received'!F137</f>
        <v/>
      </c>
      <c r="G137" s="2">
        <f>'As Received'!G137</f>
        <v/>
      </c>
      <c r="H137" s="2">
        <f>'As Received'!H137</f>
        <v/>
      </c>
      <c r="I137" s="2">
        <f>'As Received'!I137</f>
        <v/>
      </c>
      <c r="J137" s="2">
        <f>'As Received'!J137</f>
        <v/>
      </c>
      <c r="K137" s="2">
        <f>'As Received'!K137</f>
        <v/>
      </c>
      <c r="L137" s="2">
        <f>'As Received'!L137</f>
        <v/>
      </c>
      <c r="M137" s="2">
        <f>'As Received'!M137</f>
        <v/>
      </c>
      <c r="N137" s="2">
        <f>'As Received'!N137</f>
        <v/>
      </c>
      <c r="O137" s="3">
        <f>'As Received'!O137</f>
        <v/>
      </c>
      <c r="P137" s="3">
        <f>'As Received'!P137</f>
        <v/>
      </c>
      <c r="Q137" s="3">
        <f>'As Received'!Q137</f>
        <v/>
      </c>
      <c r="R137" s="2">
        <f>IF(K137="","",K137-(L137+M137+N137))</f>
        <v/>
      </c>
      <c r="S137" s="2">
        <f>IF(J137="","",K137-ROUND(0.8*J137,0))</f>
        <v/>
      </c>
    </row>
    <row r="138">
      <c r="A138" s="2">
        <f>'As Received'!A138</f>
        <v/>
      </c>
      <c r="B138" s="2">
        <f>'As Received'!B138</f>
        <v/>
      </c>
      <c r="C138" s="2">
        <f>'As Received'!C138</f>
        <v/>
      </c>
      <c r="D138" s="3">
        <f>'As Received'!D138</f>
        <v/>
      </c>
      <c r="E138" s="2">
        <f>'As Received'!E138</f>
        <v/>
      </c>
      <c r="F138" s="2">
        <f>'As Received'!F138</f>
        <v/>
      </c>
      <c r="G138" s="2">
        <f>'As Received'!G138</f>
        <v/>
      </c>
      <c r="H138" s="2">
        <f>'As Received'!H138</f>
        <v/>
      </c>
      <c r="I138" s="2">
        <f>'As Received'!I138</f>
        <v/>
      </c>
      <c r="J138" s="2">
        <f>'As Received'!J138</f>
        <v/>
      </c>
      <c r="K138" s="2">
        <f>'As Received'!K138</f>
        <v/>
      </c>
      <c r="L138" s="2">
        <f>'As Received'!L138</f>
        <v/>
      </c>
      <c r="M138" s="2">
        <f>'As Received'!M138</f>
        <v/>
      </c>
      <c r="N138" s="2">
        <f>'As Received'!N138</f>
        <v/>
      </c>
      <c r="O138" s="3">
        <f>'As Received'!O138</f>
        <v/>
      </c>
      <c r="P138" s="3">
        <f>'As Received'!P138</f>
        <v/>
      </c>
      <c r="Q138" s="3">
        <f>'As Received'!Q138</f>
        <v/>
      </c>
      <c r="R138" s="2">
        <f>IF(K138="","",K138-(L138+M138+N138))</f>
        <v/>
      </c>
      <c r="S138" s="2">
        <f>IF(J138="","",K138-ROUND(0.8*J138,0))</f>
        <v/>
      </c>
    </row>
    <row r="139">
      <c r="A139" s="2">
        <f>'As Received'!A139</f>
        <v/>
      </c>
      <c r="B139" s="2">
        <f>'As Received'!B139</f>
        <v/>
      </c>
      <c r="C139" s="2">
        <f>'As Received'!C139</f>
        <v/>
      </c>
      <c r="D139" s="3">
        <f>'As Received'!D139</f>
        <v/>
      </c>
      <c r="E139" s="2">
        <f>'As Received'!E139</f>
        <v/>
      </c>
      <c r="F139" s="2">
        <f>'As Received'!F139</f>
        <v/>
      </c>
      <c r="G139" s="2">
        <f>'As Received'!G139</f>
        <v/>
      </c>
      <c r="H139" s="2">
        <f>'As Received'!H139</f>
        <v/>
      </c>
      <c r="I139" s="2">
        <f>'As Received'!I139</f>
        <v/>
      </c>
      <c r="J139" s="2">
        <f>'As Received'!J139</f>
        <v/>
      </c>
      <c r="K139" s="2">
        <f>'As Received'!K139</f>
        <v/>
      </c>
      <c r="L139" s="2">
        <f>'As Received'!L139</f>
        <v/>
      </c>
      <c r="M139" s="2">
        <f>'As Received'!M139</f>
        <v/>
      </c>
      <c r="N139" s="2">
        <f>'As Received'!N139</f>
        <v/>
      </c>
      <c r="O139" s="3">
        <f>'As Received'!O139</f>
        <v/>
      </c>
      <c r="P139" s="3">
        <f>'As Received'!P139</f>
        <v/>
      </c>
      <c r="Q139" s="3">
        <f>'As Received'!Q139</f>
        <v/>
      </c>
      <c r="R139" s="2">
        <f>IF(K139="","",K139-(L139+M139+N139))</f>
        <v/>
      </c>
      <c r="S139" s="2">
        <f>IF(J139="","",K139-ROUND(0.8*J139,0))</f>
        <v/>
      </c>
    </row>
    <row r="140">
      <c r="A140" s="2">
        <f>'As Received'!A140</f>
        <v/>
      </c>
      <c r="B140" s="2">
        <f>'As Received'!B140</f>
        <v/>
      </c>
      <c r="C140" s="2">
        <f>'As Received'!C140</f>
        <v/>
      </c>
      <c r="D140" s="3">
        <f>'As Received'!D140</f>
        <v/>
      </c>
      <c r="E140" s="2">
        <f>'As Received'!E140</f>
        <v/>
      </c>
      <c r="F140" s="2">
        <f>'As Received'!F140</f>
        <v/>
      </c>
      <c r="G140" s="2">
        <f>'As Received'!G140</f>
        <v/>
      </c>
      <c r="H140" s="2">
        <f>'As Received'!H140</f>
        <v/>
      </c>
      <c r="I140" s="2">
        <f>'As Received'!I140</f>
        <v/>
      </c>
      <c r="J140" s="2">
        <f>'As Received'!J140</f>
        <v/>
      </c>
      <c r="K140" s="2">
        <f>'As Received'!K140</f>
        <v/>
      </c>
      <c r="L140" s="2">
        <f>'As Received'!L140</f>
        <v/>
      </c>
      <c r="M140" s="2">
        <f>'As Received'!M140</f>
        <v/>
      </c>
      <c r="N140" s="2">
        <f>'As Received'!N140</f>
        <v/>
      </c>
      <c r="O140" s="3">
        <f>'As Received'!O140</f>
        <v/>
      </c>
      <c r="P140" s="3">
        <f>'As Received'!P140</f>
        <v/>
      </c>
      <c r="Q140" s="3">
        <f>'As Received'!Q140</f>
        <v/>
      </c>
      <c r="R140" s="2">
        <f>IF(K140="","",K140-(L140+M140+N140))</f>
        <v/>
      </c>
      <c r="S140" s="2">
        <f>IF(J140="","",K140-ROUND(0.8*J140,0))</f>
        <v/>
      </c>
    </row>
    <row r="141">
      <c r="A141" s="2">
        <f>'As Received'!A141</f>
        <v/>
      </c>
      <c r="B141" s="2">
        <f>'As Received'!B141</f>
        <v/>
      </c>
      <c r="C141" s="2">
        <f>'As Received'!C141</f>
        <v/>
      </c>
      <c r="D141" s="3">
        <f>'As Received'!D141</f>
        <v/>
      </c>
      <c r="E141" s="2">
        <f>'As Received'!E141</f>
        <v/>
      </c>
      <c r="F141" s="2">
        <f>'As Received'!F141</f>
        <v/>
      </c>
      <c r="G141" s="2">
        <f>'As Received'!G141</f>
        <v/>
      </c>
      <c r="H141" s="2">
        <f>'As Received'!H141</f>
        <v/>
      </c>
      <c r="I141" s="2">
        <f>'As Received'!I141</f>
        <v/>
      </c>
      <c r="J141" s="2">
        <f>'As Received'!J141</f>
        <v/>
      </c>
      <c r="K141" s="2">
        <f>'As Received'!K141</f>
        <v/>
      </c>
      <c r="L141" s="2">
        <f>'As Received'!L141</f>
        <v/>
      </c>
      <c r="M141" s="2">
        <f>'As Received'!M141</f>
        <v/>
      </c>
      <c r="N141" s="2">
        <f>'As Received'!N141</f>
        <v/>
      </c>
      <c r="O141" s="3">
        <f>'As Received'!O141</f>
        <v/>
      </c>
      <c r="P141" s="3">
        <f>'As Received'!P141</f>
        <v/>
      </c>
      <c r="Q141" s="3">
        <f>'As Received'!Q141</f>
        <v/>
      </c>
      <c r="R141" s="2">
        <f>IF(K141="","",K141-(L141+M141+N141))</f>
        <v/>
      </c>
      <c r="S141" s="2">
        <f>IF(J141="","",K141-ROUND(0.8*J141,0))</f>
        <v/>
      </c>
    </row>
    <row r="142">
      <c r="A142" s="2">
        <f>'As Received'!A142</f>
        <v/>
      </c>
      <c r="B142" s="2">
        <f>'As Received'!B142</f>
        <v/>
      </c>
      <c r="C142" s="2">
        <f>'As Received'!C142</f>
        <v/>
      </c>
      <c r="D142" s="3">
        <f>'As Received'!D142</f>
        <v/>
      </c>
      <c r="E142" s="2">
        <f>'As Received'!E142</f>
        <v/>
      </c>
      <c r="F142" s="2">
        <f>'As Received'!F142</f>
        <v/>
      </c>
      <c r="G142" s="2">
        <f>'As Received'!G142</f>
        <v/>
      </c>
      <c r="H142" s="2">
        <f>'As Received'!H142</f>
        <v/>
      </c>
      <c r="I142" s="2">
        <f>'As Received'!I142</f>
        <v/>
      </c>
      <c r="J142" s="2">
        <f>'As Received'!J142</f>
        <v/>
      </c>
      <c r="K142" s="2">
        <f>'As Received'!K142</f>
        <v/>
      </c>
      <c r="L142" s="2">
        <f>'As Received'!L142</f>
        <v/>
      </c>
      <c r="M142" s="2">
        <f>'As Received'!M142</f>
        <v/>
      </c>
      <c r="N142" s="2">
        <f>'As Received'!N142</f>
        <v/>
      </c>
      <c r="O142" s="3">
        <f>'As Received'!O142</f>
        <v/>
      </c>
      <c r="P142" s="3">
        <f>'As Received'!P142</f>
        <v/>
      </c>
      <c r="Q142" s="3">
        <f>'As Received'!Q142</f>
        <v/>
      </c>
      <c r="R142" s="2">
        <f>IF(K142="","",K142-(L142+M142+N142))</f>
        <v/>
      </c>
      <c r="S142" s="2">
        <f>IF(J142="","",K142-ROUND(0.8*J142,0))</f>
        <v/>
      </c>
    </row>
    <row r="143">
      <c r="A143" s="2">
        <f>'As Received'!A143</f>
        <v/>
      </c>
      <c r="B143" s="2">
        <f>'As Received'!B143</f>
        <v/>
      </c>
      <c r="C143" s="2">
        <f>'As Received'!C143</f>
        <v/>
      </c>
      <c r="D143" s="3">
        <f>'As Received'!D143</f>
        <v/>
      </c>
      <c r="E143" s="2">
        <f>'As Received'!E143</f>
        <v/>
      </c>
      <c r="F143" s="2">
        <f>'As Received'!F143</f>
        <v/>
      </c>
      <c r="G143" s="2">
        <f>'As Received'!G143</f>
        <v/>
      </c>
      <c r="H143" s="2">
        <f>'As Received'!H143</f>
        <v/>
      </c>
      <c r="I143" s="2">
        <f>'As Received'!I143</f>
        <v/>
      </c>
      <c r="J143" s="2">
        <f>'As Received'!J143</f>
        <v/>
      </c>
      <c r="K143" s="2">
        <f>'As Received'!K143</f>
        <v/>
      </c>
      <c r="L143" s="2">
        <f>'As Received'!L143</f>
        <v/>
      </c>
      <c r="M143" s="2">
        <f>'As Received'!M143</f>
        <v/>
      </c>
      <c r="N143" s="2">
        <f>'As Received'!N143</f>
        <v/>
      </c>
      <c r="O143" s="3">
        <f>'As Received'!O143</f>
        <v/>
      </c>
      <c r="P143" s="3">
        <f>'As Received'!P143</f>
        <v/>
      </c>
      <c r="Q143" s="3">
        <f>'As Received'!Q143</f>
        <v/>
      </c>
      <c r="R143" s="2">
        <f>IF(K143="","",K143-(L143+M143+N143))</f>
        <v/>
      </c>
      <c r="S143" s="2">
        <f>IF(J143="","",K143-ROUND(0.8*J143,0))</f>
        <v/>
      </c>
    </row>
    <row r="144">
      <c r="A144" s="2">
        <f>'As Received'!A144</f>
        <v/>
      </c>
      <c r="B144" s="2">
        <f>'As Received'!B144</f>
        <v/>
      </c>
      <c r="C144" s="2">
        <f>'As Received'!C144</f>
        <v/>
      </c>
      <c r="D144" s="3">
        <f>'As Received'!D144</f>
        <v/>
      </c>
      <c r="E144" s="2">
        <f>'As Received'!E144</f>
        <v/>
      </c>
      <c r="F144" s="2">
        <f>'As Received'!F144</f>
        <v/>
      </c>
      <c r="G144" s="2">
        <f>'As Received'!G144</f>
        <v/>
      </c>
      <c r="H144" s="2">
        <f>'As Received'!H144</f>
        <v/>
      </c>
      <c r="I144" s="2">
        <f>'As Received'!I144</f>
        <v/>
      </c>
      <c r="J144" s="2">
        <f>'As Received'!J144</f>
        <v/>
      </c>
      <c r="K144" s="2">
        <f>'As Received'!K144</f>
        <v/>
      </c>
      <c r="L144" s="2">
        <f>'As Received'!L144</f>
        <v/>
      </c>
      <c r="M144" s="2">
        <f>'As Received'!M144</f>
        <v/>
      </c>
      <c r="N144" s="2">
        <f>'As Received'!N144</f>
        <v/>
      </c>
      <c r="O144" s="3">
        <f>'As Received'!O144</f>
        <v/>
      </c>
      <c r="P144" s="3">
        <f>'As Received'!P144</f>
        <v/>
      </c>
      <c r="Q144" s="3">
        <f>'As Received'!Q144</f>
        <v/>
      </c>
      <c r="R144" s="2">
        <f>IF(K144="","",K144-(L144+M144+N144))</f>
        <v/>
      </c>
      <c r="S144" s="2">
        <f>IF(J144="","",K144-ROUND(0.8*J144,0))</f>
        <v/>
      </c>
    </row>
    <row r="145">
      <c r="A145" s="2">
        <f>'As Received'!A145</f>
        <v/>
      </c>
      <c r="B145" s="2">
        <f>'As Received'!B145</f>
        <v/>
      </c>
      <c r="C145" s="2">
        <f>'As Received'!C145</f>
        <v/>
      </c>
      <c r="D145" s="3">
        <f>'As Received'!D145</f>
        <v/>
      </c>
      <c r="E145" s="2">
        <f>'As Received'!E145</f>
        <v/>
      </c>
      <c r="F145" s="2">
        <f>'As Received'!F145</f>
        <v/>
      </c>
      <c r="G145" s="2">
        <f>'As Received'!G145</f>
        <v/>
      </c>
      <c r="H145" s="2">
        <f>'As Received'!H145</f>
        <v/>
      </c>
      <c r="I145" s="2">
        <f>'As Received'!I145</f>
        <v/>
      </c>
      <c r="J145" s="2">
        <f>'As Received'!J145</f>
        <v/>
      </c>
      <c r="K145" s="2">
        <f>'As Received'!K145</f>
        <v/>
      </c>
      <c r="L145" s="2">
        <f>'As Received'!L145</f>
        <v/>
      </c>
      <c r="M145" s="2">
        <f>'As Received'!M145</f>
        <v/>
      </c>
      <c r="N145" s="2">
        <f>'As Received'!N145</f>
        <v/>
      </c>
      <c r="O145" s="3">
        <f>'As Received'!O145</f>
        <v/>
      </c>
      <c r="P145" s="3">
        <f>'As Received'!P145</f>
        <v/>
      </c>
      <c r="Q145" s="3">
        <f>'As Received'!Q145</f>
        <v/>
      </c>
      <c r="R145" s="2">
        <f>IF(K145="","",K145-(L145+M145+N145))</f>
        <v/>
      </c>
      <c r="S145" s="2">
        <f>IF(J145="","",K145-ROUND(0.8*J145,0))</f>
        <v/>
      </c>
    </row>
    <row r="146">
      <c r="A146" s="2">
        <f>'As Received'!A146</f>
        <v/>
      </c>
      <c r="B146" s="2">
        <f>'As Received'!B146</f>
        <v/>
      </c>
      <c r="C146" s="2">
        <f>'As Received'!C146</f>
        <v/>
      </c>
      <c r="D146" s="3">
        <f>'As Received'!D146</f>
        <v/>
      </c>
      <c r="E146" s="2">
        <f>'As Received'!E146</f>
        <v/>
      </c>
      <c r="F146" s="2">
        <f>'As Received'!F146</f>
        <v/>
      </c>
      <c r="G146" s="2">
        <f>'As Received'!G146</f>
        <v/>
      </c>
      <c r="H146" s="2">
        <f>'As Received'!H146</f>
        <v/>
      </c>
      <c r="I146" s="2">
        <f>'As Received'!I146</f>
        <v/>
      </c>
      <c r="J146" s="2">
        <f>'As Received'!J146</f>
        <v/>
      </c>
      <c r="K146" s="2">
        <f>'As Received'!K146</f>
        <v/>
      </c>
      <c r="L146" s="2">
        <f>'As Received'!L146</f>
        <v/>
      </c>
      <c r="M146" s="2">
        <f>'As Received'!M146</f>
        <v/>
      </c>
      <c r="N146" s="2">
        <f>'As Received'!N146</f>
        <v/>
      </c>
      <c r="O146" s="3">
        <f>'As Received'!O146</f>
        <v/>
      </c>
      <c r="P146" s="3">
        <f>'As Received'!P146</f>
        <v/>
      </c>
      <c r="Q146" s="3">
        <f>'As Received'!Q146</f>
        <v/>
      </c>
      <c r="R146" s="2">
        <f>IF(K146="","",K146-(L146+M146+N146))</f>
        <v/>
      </c>
      <c r="S146" s="2">
        <f>IF(J146="","",K146-ROUND(0.8*J146,0))</f>
        <v/>
      </c>
    </row>
    <row r="147">
      <c r="A147" s="2">
        <f>'As Received'!A147</f>
        <v/>
      </c>
      <c r="B147" s="2">
        <f>'As Received'!B147</f>
        <v/>
      </c>
      <c r="C147" s="2">
        <f>'As Received'!C147</f>
        <v/>
      </c>
      <c r="D147" s="3">
        <f>'As Received'!D147</f>
        <v/>
      </c>
      <c r="E147" s="2">
        <f>'As Received'!E147</f>
        <v/>
      </c>
      <c r="F147" s="2">
        <f>'As Received'!F147</f>
        <v/>
      </c>
      <c r="G147" s="2">
        <f>'As Received'!G147</f>
        <v/>
      </c>
      <c r="H147" s="2">
        <f>'As Received'!H147</f>
        <v/>
      </c>
      <c r="I147" s="2">
        <f>'As Received'!I147</f>
        <v/>
      </c>
      <c r="J147" s="2">
        <f>'As Received'!J147</f>
        <v/>
      </c>
      <c r="K147" s="2">
        <f>'As Received'!K147</f>
        <v/>
      </c>
      <c r="L147" s="2">
        <f>'As Received'!L147</f>
        <v/>
      </c>
      <c r="M147" s="2">
        <f>'As Received'!M147</f>
        <v/>
      </c>
      <c r="N147" s="2">
        <f>'As Received'!N147</f>
        <v/>
      </c>
      <c r="O147" s="3">
        <f>'As Received'!O147</f>
        <v/>
      </c>
      <c r="P147" s="3">
        <f>'As Received'!P147</f>
        <v/>
      </c>
      <c r="Q147" s="3">
        <f>'As Received'!Q147</f>
        <v/>
      </c>
      <c r="R147" s="2">
        <f>IF(K147="","",K147-(L147+M147+N147))</f>
        <v/>
      </c>
      <c r="S147" s="2">
        <f>IF(J147="","",K147-ROUND(0.8*J147,0))</f>
        <v/>
      </c>
    </row>
    <row r="148">
      <c r="A148" s="2">
        <f>'As Received'!A148</f>
        <v/>
      </c>
      <c r="B148" s="2">
        <f>'As Received'!B148</f>
        <v/>
      </c>
      <c r="C148" s="2">
        <f>'As Received'!C148</f>
        <v/>
      </c>
      <c r="D148" s="3">
        <f>'As Received'!D148</f>
        <v/>
      </c>
      <c r="E148" s="2">
        <f>'As Received'!E148</f>
        <v/>
      </c>
      <c r="F148" s="2">
        <f>'As Received'!F148</f>
        <v/>
      </c>
      <c r="G148" s="2">
        <f>'As Received'!G148</f>
        <v/>
      </c>
      <c r="H148" s="2">
        <f>'As Received'!H148</f>
        <v/>
      </c>
      <c r="I148" s="2">
        <f>'As Received'!I148</f>
        <v/>
      </c>
      <c r="J148" s="2">
        <f>'As Received'!J148</f>
        <v/>
      </c>
      <c r="K148" s="2">
        <f>'As Received'!K148</f>
        <v/>
      </c>
      <c r="L148" s="2">
        <f>'As Received'!L148</f>
        <v/>
      </c>
      <c r="M148" s="2">
        <f>'As Received'!M148</f>
        <v/>
      </c>
      <c r="N148" s="2">
        <f>'As Received'!N148</f>
        <v/>
      </c>
      <c r="O148" s="3">
        <f>'As Received'!O148</f>
        <v/>
      </c>
      <c r="P148" s="3">
        <f>'As Received'!P148</f>
        <v/>
      </c>
      <c r="Q148" s="3">
        <f>'As Received'!Q148</f>
        <v/>
      </c>
      <c r="R148" s="2">
        <f>IF(K148="","",K148-(L148+M148+N148))</f>
        <v/>
      </c>
      <c r="S148" s="2">
        <f>IF(J148="","",K148-ROUND(0.8*J148,0))</f>
        <v/>
      </c>
    </row>
    <row r="149">
      <c r="A149" s="2">
        <f>'As Received'!A149</f>
        <v/>
      </c>
      <c r="B149" s="2">
        <f>'As Received'!B149</f>
        <v/>
      </c>
      <c r="C149" s="2">
        <f>'As Received'!C149</f>
        <v/>
      </c>
      <c r="D149" s="3">
        <f>'As Received'!D149</f>
        <v/>
      </c>
      <c r="E149" s="2">
        <f>'As Received'!E149</f>
        <v/>
      </c>
      <c r="F149" s="2">
        <f>'As Received'!F149</f>
        <v/>
      </c>
      <c r="G149" s="2">
        <f>'As Received'!G149</f>
        <v/>
      </c>
      <c r="H149" s="2">
        <f>'As Received'!H149</f>
        <v/>
      </c>
      <c r="I149" s="2">
        <f>'As Received'!I149</f>
        <v/>
      </c>
      <c r="J149" s="2">
        <f>'As Received'!J149</f>
        <v/>
      </c>
      <c r="K149" s="2">
        <f>'As Received'!K149</f>
        <v/>
      </c>
      <c r="L149" s="2">
        <f>'As Received'!L149</f>
        <v/>
      </c>
      <c r="M149" s="2">
        <f>'As Received'!M149</f>
        <v/>
      </c>
      <c r="N149" s="2">
        <f>'As Received'!N149</f>
        <v/>
      </c>
      <c r="O149" s="3">
        <f>'As Received'!O149</f>
        <v/>
      </c>
      <c r="P149" s="3">
        <f>'As Received'!P149</f>
        <v/>
      </c>
      <c r="Q149" s="3">
        <f>'As Received'!Q149</f>
        <v/>
      </c>
      <c r="R149" s="2">
        <f>IF(K149="","",K149-(L149+M149+N149))</f>
        <v/>
      </c>
      <c r="S149" s="2">
        <f>IF(J149="","",K149-ROUND(0.8*J149,0))</f>
        <v/>
      </c>
    </row>
    <row r="150">
      <c r="A150" s="2">
        <f>'As Received'!A150</f>
        <v/>
      </c>
      <c r="B150" s="2">
        <f>'As Received'!B150</f>
        <v/>
      </c>
      <c r="C150" s="2">
        <f>'As Received'!C150</f>
        <v/>
      </c>
      <c r="D150" s="3">
        <f>'As Received'!D150</f>
        <v/>
      </c>
      <c r="E150" s="2">
        <f>'As Received'!E150</f>
        <v/>
      </c>
      <c r="F150" s="2">
        <f>'As Received'!F150</f>
        <v/>
      </c>
      <c r="G150" s="2">
        <f>'As Received'!G150</f>
        <v/>
      </c>
      <c r="H150" s="2">
        <f>'As Received'!H150</f>
        <v/>
      </c>
      <c r="I150" s="2">
        <f>'As Received'!I150</f>
        <v/>
      </c>
      <c r="J150" s="2">
        <f>'As Received'!J150</f>
        <v/>
      </c>
      <c r="K150" s="2">
        <f>'As Received'!K150</f>
        <v/>
      </c>
      <c r="L150" s="2">
        <f>'As Received'!L150</f>
        <v/>
      </c>
      <c r="M150" s="2">
        <f>'As Received'!M150</f>
        <v/>
      </c>
      <c r="N150" s="2">
        <f>'As Received'!N150</f>
        <v/>
      </c>
      <c r="O150" s="3">
        <f>'As Received'!O150</f>
        <v/>
      </c>
      <c r="P150" s="3">
        <f>'As Received'!P150</f>
        <v/>
      </c>
      <c r="Q150" s="3">
        <f>'As Received'!Q150</f>
        <v/>
      </c>
      <c r="R150" s="2">
        <f>IF(K150="","",K150-(L150+M150+N150))</f>
        <v/>
      </c>
      <c r="S150" s="2">
        <f>IF(J150="","",K150-ROUND(0.8*J150,0))</f>
        <v/>
      </c>
    </row>
    <row r="151">
      <c r="A151" s="2">
        <f>'As Received'!A151</f>
        <v/>
      </c>
      <c r="B151" s="2">
        <f>'As Received'!B151</f>
        <v/>
      </c>
      <c r="C151" s="2">
        <f>'As Received'!C151</f>
        <v/>
      </c>
      <c r="D151" s="3">
        <f>'As Received'!D151</f>
        <v/>
      </c>
      <c r="E151" s="2">
        <f>'As Received'!E151</f>
        <v/>
      </c>
      <c r="F151" s="2">
        <f>'As Received'!F151</f>
        <v/>
      </c>
      <c r="G151" s="2">
        <f>'As Received'!G151</f>
        <v/>
      </c>
      <c r="H151" s="2">
        <f>'As Received'!H151</f>
        <v/>
      </c>
      <c r="I151" s="2">
        <f>'As Received'!I151</f>
        <v/>
      </c>
      <c r="J151" s="2">
        <f>'As Received'!J151</f>
        <v/>
      </c>
      <c r="K151" s="2">
        <f>'As Received'!K151</f>
        <v/>
      </c>
      <c r="L151" s="2">
        <f>'As Received'!L151</f>
        <v/>
      </c>
      <c r="M151" s="2">
        <f>'As Received'!M151</f>
        <v/>
      </c>
      <c r="N151" s="2">
        <f>'As Received'!N151</f>
        <v/>
      </c>
      <c r="O151" s="3">
        <f>'As Received'!O151</f>
        <v/>
      </c>
      <c r="P151" s="3">
        <f>'As Received'!P151</f>
        <v/>
      </c>
      <c r="Q151" s="3">
        <f>'As Received'!Q151</f>
        <v/>
      </c>
      <c r="R151" s="2">
        <f>IF(K151="","",K151-(L151+M151+N151))</f>
        <v/>
      </c>
      <c r="S151" s="2">
        <f>IF(J151="","",K151-ROUND(0.8*J151,0))</f>
        <v/>
      </c>
    </row>
    <row r="152">
      <c r="A152" s="2">
        <f>'As Received'!A152</f>
        <v/>
      </c>
      <c r="B152" s="2">
        <f>'As Received'!B152</f>
        <v/>
      </c>
      <c r="C152" s="2">
        <f>'As Received'!C152</f>
        <v/>
      </c>
      <c r="D152" s="3">
        <f>'As Received'!D152</f>
        <v/>
      </c>
      <c r="E152" s="2">
        <f>'As Received'!E152</f>
        <v/>
      </c>
      <c r="F152" s="2">
        <f>'As Received'!F152</f>
        <v/>
      </c>
      <c r="G152" s="2">
        <f>'As Received'!G152</f>
        <v/>
      </c>
      <c r="H152" s="2">
        <f>'As Received'!H152</f>
        <v/>
      </c>
      <c r="I152" s="2">
        <f>'As Received'!I152</f>
        <v/>
      </c>
      <c r="J152" s="2">
        <f>'As Received'!J152</f>
        <v/>
      </c>
      <c r="K152" s="2">
        <f>'As Received'!K152</f>
        <v/>
      </c>
      <c r="L152" s="2">
        <f>'As Received'!L152</f>
        <v/>
      </c>
      <c r="M152" s="2">
        <f>'As Received'!M152</f>
        <v/>
      </c>
      <c r="N152" s="2">
        <f>'As Received'!N152</f>
        <v/>
      </c>
      <c r="O152" s="3">
        <f>'As Received'!O152</f>
        <v/>
      </c>
      <c r="P152" s="3">
        <f>'As Received'!P152</f>
        <v/>
      </c>
      <c r="Q152" s="3">
        <f>'As Received'!Q152</f>
        <v/>
      </c>
      <c r="R152" s="2">
        <f>IF(K152="","",K152-(L152+M152+N152))</f>
        <v/>
      </c>
      <c r="S152" s="2">
        <f>IF(J152="","",K152-ROUND(0.8*J152,0))</f>
        <v/>
      </c>
    </row>
    <row r="153">
      <c r="A153" s="2">
        <f>'As Received'!A153</f>
        <v/>
      </c>
      <c r="B153" s="2">
        <f>'As Received'!B153</f>
        <v/>
      </c>
      <c r="C153" s="2">
        <f>'As Received'!C153</f>
        <v/>
      </c>
      <c r="D153" s="3">
        <f>'As Received'!D153</f>
        <v/>
      </c>
      <c r="E153" s="2">
        <f>'As Received'!E153</f>
        <v/>
      </c>
      <c r="F153" s="2">
        <f>'As Received'!F153</f>
        <v/>
      </c>
      <c r="G153" s="2">
        <f>'As Received'!G153</f>
        <v/>
      </c>
      <c r="H153" s="2">
        <f>'As Received'!H153</f>
        <v/>
      </c>
      <c r="I153" s="2">
        <f>'As Received'!I153</f>
        <v/>
      </c>
      <c r="J153" s="2">
        <f>'As Received'!J153</f>
        <v/>
      </c>
      <c r="K153" s="2">
        <f>'As Received'!K153</f>
        <v/>
      </c>
      <c r="L153" s="2">
        <f>'As Received'!L153</f>
        <v/>
      </c>
      <c r="M153" s="2">
        <f>'As Received'!M153</f>
        <v/>
      </c>
      <c r="N153" s="2">
        <f>'As Received'!N153</f>
        <v/>
      </c>
      <c r="O153" s="3">
        <f>'As Received'!O153</f>
        <v/>
      </c>
      <c r="P153" s="3">
        <f>'As Received'!P153</f>
        <v/>
      </c>
      <c r="Q153" s="3">
        <f>'As Received'!Q153</f>
        <v/>
      </c>
      <c r="R153" s="2">
        <f>IF(K153="","",K153-(L153+M153+N153))</f>
        <v/>
      </c>
      <c r="S153" s="2">
        <f>IF(J153="","",K153-ROUND(0.8*J153,0))</f>
        <v/>
      </c>
    </row>
    <row r="154">
      <c r="A154" s="2">
        <f>'As Received'!A154</f>
        <v/>
      </c>
      <c r="B154" s="2">
        <f>'As Received'!B154</f>
        <v/>
      </c>
      <c r="C154" s="2">
        <f>'As Received'!C154</f>
        <v/>
      </c>
      <c r="D154" s="3">
        <f>'As Received'!D154</f>
        <v/>
      </c>
      <c r="E154" s="2">
        <f>'As Received'!E154</f>
        <v/>
      </c>
      <c r="F154" s="2">
        <f>'As Received'!F154</f>
        <v/>
      </c>
      <c r="G154" s="2">
        <f>'As Received'!G154</f>
        <v/>
      </c>
      <c r="H154" s="2">
        <f>'As Received'!H154</f>
        <v/>
      </c>
      <c r="I154" s="2">
        <f>'As Received'!I154</f>
        <v/>
      </c>
      <c r="J154" s="2">
        <f>'As Received'!J154</f>
        <v/>
      </c>
      <c r="K154" s="2">
        <f>'As Received'!K154</f>
        <v/>
      </c>
      <c r="L154" s="2">
        <f>'As Received'!L154</f>
        <v/>
      </c>
      <c r="M154" s="2">
        <f>'As Received'!M154</f>
        <v/>
      </c>
      <c r="N154" s="2">
        <f>'As Received'!N154</f>
        <v/>
      </c>
      <c r="O154" s="3">
        <f>'As Received'!O154</f>
        <v/>
      </c>
      <c r="P154" s="3">
        <f>'As Received'!P154</f>
        <v/>
      </c>
      <c r="Q154" s="3">
        <f>'As Received'!Q154</f>
        <v/>
      </c>
      <c r="R154" s="2">
        <f>IF(K154="","",K154-(L154+M154+N154))</f>
        <v/>
      </c>
      <c r="S154" s="2">
        <f>IF(J154="","",K154-ROUND(0.8*J154,0))</f>
        <v/>
      </c>
    </row>
    <row r="155">
      <c r="A155" s="2">
        <f>'As Received'!A155</f>
        <v/>
      </c>
      <c r="B155" s="2">
        <f>'As Received'!B155</f>
        <v/>
      </c>
      <c r="C155" s="2">
        <f>'As Received'!C155</f>
        <v/>
      </c>
      <c r="D155" s="3">
        <f>'As Received'!D155</f>
        <v/>
      </c>
      <c r="E155" s="2">
        <f>'As Received'!E155</f>
        <v/>
      </c>
      <c r="F155" s="2">
        <f>'As Received'!F155</f>
        <v/>
      </c>
      <c r="G155" s="2">
        <f>'As Received'!G155</f>
        <v/>
      </c>
      <c r="H155" s="2">
        <f>'As Received'!H155</f>
        <v/>
      </c>
      <c r="I155" s="2">
        <f>'As Received'!I155</f>
        <v/>
      </c>
      <c r="J155" s="2">
        <f>'As Received'!J155</f>
        <v/>
      </c>
      <c r="K155" s="2">
        <f>'As Received'!K155</f>
        <v/>
      </c>
      <c r="L155" s="2">
        <f>'As Received'!L155</f>
        <v/>
      </c>
      <c r="M155" s="2">
        <f>'As Received'!M155</f>
        <v/>
      </c>
      <c r="N155" s="2">
        <f>'As Received'!N155</f>
        <v/>
      </c>
      <c r="O155" s="3">
        <f>'As Received'!O155</f>
        <v/>
      </c>
      <c r="P155" s="3">
        <f>'As Received'!P155</f>
        <v/>
      </c>
      <c r="Q155" s="3">
        <f>'As Received'!Q155</f>
        <v/>
      </c>
      <c r="R155" s="2">
        <f>IF(K155="","",K155-(L155+M155+N155))</f>
        <v/>
      </c>
      <c r="S155" s="2">
        <f>IF(J155="","",K155-ROUND(0.8*J155,0))</f>
        <v/>
      </c>
    </row>
    <row r="156">
      <c r="A156" s="2">
        <f>'As Received'!A156</f>
        <v/>
      </c>
      <c r="B156" s="2">
        <f>'As Received'!B156</f>
        <v/>
      </c>
      <c r="C156" s="2">
        <f>'As Received'!C156</f>
        <v/>
      </c>
      <c r="D156" s="3">
        <f>'As Received'!D156</f>
        <v/>
      </c>
      <c r="E156" s="2">
        <f>'As Received'!E156</f>
        <v/>
      </c>
      <c r="F156" s="2">
        <f>'As Received'!F156</f>
        <v/>
      </c>
      <c r="G156" s="2">
        <f>'As Received'!G156</f>
        <v/>
      </c>
      <c r="H156" s="2">
        <f>'As Received'!H156</f>
        <v/>
      </c>
      <c r="I156" s="2">
        <f>'As Received'!I156</f>
        <v/>
      </c>
      <c r="J156" s="2">
        <f>'As Received'!J156</f>
        <v/>
      </c>
      <c r="K156" s="2">
        <f>'As Received'!K156</f>
        <v/>
      </c>
      <c r="L156" s="2">
        <f>'As Received'!L156</f>
        <v/>
      </c>
      <c r="M156" s="2">
        <f>'As Received'!M156</f>
        <v/>
      </c>
      <c r="N156" s="2">
        <f>'As Received'!N156</f>
        <v/>
      </c>
      <c r="O156" s="3">
        <f>'As Received'!O156</f>
        <v/>
      </c>
      <c r="P156" s="3">
        <f>'As Received'!P156</f>
        <v/>
      </c>
      <c r="Q156" s="3">
        <f>'As Received'!Q156</f>
        <v/>
      </c>
      <c r="R156" s="2">
        <f>IF(K156="","",K156-(L156+M156+N156))</f>
        <v/>
      </c>
      <c r="S156" s="2">
        <f>IF(J156="","",K156-ROUND(0.8*J156,0))</f>
        <v/>
      </c>
    </row>
    <row r="157">
      <c r="A157" s="2">
        <f>'As Received'!A157</f>
        <v/>
      </c>
      <c r="B157" s="2">
        <f>'As Received'!B157</f>
        <v/>
      </c>
      <c r="C157" s="2">
        <f>'As Received'!C157</f>
        <v/>
      </c>
      <c r="D157" s="3">
        <f>'As Received'!D157</f>
        <v/>
      </c>
      <c r="E157" s="2">
        <f>'As Received'!E157</f>
        <v/>
      </c>
      <c r="F157" s="2">
        <f>'As Received'!F157</f>
        <v/>
      </c>
      <c r="G157" s="2">
        <f>'As Received'!G157</f>
        <v/>
      </c>
      <c r="H157" s="2">
        <f>'As Received'!H157</f>
        <v/>
      </c>
      <c r="I157" s="2">
        <f>'As Received'!I157</f>
        <v/>
      </c>
      <c r="J157" s="2">
        <f>'As Received'!J157</f>
        <v/>
      </c>
      <c r="K157" s="2">
        <f>'As Received'!K157</f>
        <v/>
      </c>
      <c r="L157" s="2">
        <f>'As Received'!L157</f>
        <v/>
      </c>
      <c r="M157" s="2">
        <f>'As Received'!M157</f>
        <v/>
      </c>
      <c r="N157" s="2">
        <f>'As Received'!N157</f>
        <v/>
      </c>
      <c r="O157" s="3">
        <f>'As Received'!O157</f>
        <v/>
      </c>
      <c r="P157" s="3">
        <f>'As Received'!P157</f>
        <v/>
      </c>
      <c r="Q157" s="3">
        <f>'As Received'!Q157</f>
        <v/>
      </c>
      <c r="R157" s="2">
        <f>IF(K157="","",K157-(L157+M157+N157))</f>
        <v/>
      </c>
      <c r="S157" s="2">
        <f>IF(J157="","",K157-ROUND(0.8*J157,0))</f>
        <v/>
      </c>
    </row>
    <row r="158">
      <c r="A158" s="2">
        <f>'As Received'!A158</f>
        <v/>
      </c>
      <c r="B158" s="2">
        <f>'As Received'!B158</f>
        <v/>
      </c>
      <c r="C158" s="2">
        <f>'As Received'!C158</f>
        <v/>
      </c>
      <c r="D158" s="3">
        <f>'As Received'!D158</f>
        <v/>
      </c>
      <c r="E158" s="2">
        <f>'As Received'!E158</f>
        <v/>
      </c>
      <c r="F158" s="2">
        <f>'As Received'!F158</f>
        <v/>
      </c>
      <c r="G158" s="2">
        <f>'As Received'!G158</f>
        <v/>
      </c>
      <c r="H158" s="2">
        <f>'As Received'!H158</f>
        <v/>
      </c>
      <c r="I158" s="2">
        <f>'As Received'!I158</f>
        <v/>
      </c>
      <c r="J158" s="2">
        <f>'As Received'!J158</f>
        <v/>
      </c>
      <c r="K158" s="2">
        <f>'As Received'!K158</f>
        <v/>
      </c>
      <c r="L158" s="2">
        <f>'As Received'!L158</f>
        <v/>
      </c>
      <c r="M158" s="2">
        <f>'As Received'!M158</f>
        <v/>
      </c>
      <c r="N158" s="2">
        <f>'As Received'!N158</f>
        <v/>
      </c>
      <c r="O158" s="3">
        <f>'As Received'!O158</f>
        <v/>
      </c>
      <c r="P158" s="3">
        <f>'As Received'!P158</f>
        <v/>
      </c>
      <c r="Q158" s="3">
        <f>'As Received'!Q158</f>
        <v/>
      </c>
      <c r="R158" s="2">
        <f>IF(K158="","",K158-(L158+M158+N158))</f>
        <v/>
      </c>
      <c r="S158" s="2">
        <f>IF(J158="","",K158-ROUND(0.8*J158,0))</f>
        <v/>
      </c>
    </row>
    <row r="159">
      <c r="A159" s="2">
        <f>'As Received'!A159</f>
        <v/>
      </c>
      <c r="B159" s="2">
        <f>'As Received'!B159</f>
        <v/>
      </c>
      <c r="C159" s="2">
        <f>'As Received'!C159</f>
        <v/>
      </c>
      <c r="D159" s="3">
        <f>'As Received'!D159</f>
        <v/>
      </c>
      <c r="E159" s="2">
        <f>'As Received'!E159</f>
        <v/>
      </c>
      <c r="F159" s="2">
        <f>'As Received'!F159</f>
        <v/>
      </c>
      <c r="G159" s="2">
        <f>'As Received'!G159</f>
        <v/>
      </c>
      <c r="H159" s="2">
        <f>'As Received'!H159</f>
        <v/>
      </c>
      <c r="I159" s="2">
        <f>'As Received'!I159</f>
        <v/>
      </c>
      <c r="J159" s="2">
        <f>'As Received'!J159</f>
        <v/>
      </c>
      <c r="K159" s="2">
        <f>'As Received'!K159</f>
        <v/>
      </c>
      <c r="L159" s="2">
        <f>'As Received'!L159</f>
        <v/>
      </c>
      <c r="M159" s="2">
        <f>'As Received'!M159</f>
        <v/>
      </c>
      <c r="N159" s="2">
        <f>'As Received'!N159</f>
        <v/>
      </c>
      <c r="O159" s="3">
        <f>'As Received'!O159</f>
        <v/>
      </c>
      <c r="P159" s="3">
        <f>'As Received'!P159</f>
        <v/>
      </c>
      <c r="Q159" s="3">
        <f>'As Received'!Q159</f>
        <v/>
      </c>
      <c r="R159" s="2">
        <f>IF(K159="","",K159-(L159+M159+N159))</f>
        <v/>
      </c>
      <c r="S159" s="2">
        <f>IF(J159="","",K159-ROUND(0.8*J159,0))</f>
        <v/>
      </c>
    </row>
    <row r="160">
      <c r="A160" s="2">
        <f>'As Received'!A160</f>
        <v/>
      </c>
      <c r="B160" s="2">
        <f>'As Received'!B160</f>
        <v/>
      </c>
      <c r="C160" s="2">
        <f>'As Received'!C160</f>
        <v/>
      </c>
      <c r="D160" s="3">
        <f>'As Received'!D160</f>
        <v/>
      </c>
      <c r="E160" s="2">
        <f>'As Received'!E160</f>
        <v/>
      </c>
      <c r="F160" s="2">
        <f>'As Received'!F160</f>
        <v/>
      </c>
      <c r="G160" s="2">
        <f>'As Received'!G160</f>
        <v/>
      </c>
      <c r="H160" s="2">
        <f>'As Received'!H160</f>
        <v/>
      </c>
      <c r="I160" s="2">
        <f>'As Received'!I160</f>
        <v/>
      </c>
      <c r="J160" s="2">
        <f>'As Received'!J160</f>
        <v/>
      </c>
      <c r="K160" s="2">
        <f>'As Received'!K160</f>
        <v/>
      </c>
      <c r="L160" s="2">
        <f>'As Received'!L160</f>
        <v/>
      </c>
      <c r="M160" s="2">
        <f>'As Received'!M160</f>
        <v/>
      </c>
      <c r="N160" s="2">
        <f>'As Received'!N160</f>
        <v/>
      </c>
      <c r="O160" s="3">
        <f>'As Received'!O160</f>
        <v/>
      </c>
      <c r="P160" s="3">
        <f>'As Received'!P160</f>
        <v/>
      </c>
      <c r="Q160" s="3">
        <f>'As Received'!Q160</f>
        <v/>
      </c>
      <c r="R160" s="2">
        <f>IF(K160="","",K160-(L160+M160+N160))</f>
        <v/>
      </c>
      <c r="S160" s="2">
        <f>IF(J160="","",K160-ROUND(0.8*J160,0))</f>
        <v/>
      </c>
    </row>
    <row r="161">
      <c r="A161" s="2">
        <f>'As Received'!A161</f>
        <v/>
      </c>
      <c r="B161" s="2">
        <f>'As Received'!B161</f>
        <v/>
      </c>
      <c r="C161" s="2">
        <f>'As Received'!C161</f>
        <v/>
      </c>
      <c r="D161" s="3">
        <f>'As Received'!D161</f>
        <v/>
      </c>
      <c r="E161" s="2">
        <f>'As Received'!E161</f>
        <v/>
      </c>
      <c r="F161" s="2">
        <f>'As Received'!F161</f>
        <v/>
      </c>
      <c r="G161" s="2">
        <f>'As Received'!G161</f>
        <v/>
      </c>
      <c r="H161" s="2">
        <f>'As Received'!H161</f>
        <v/>
      </c>
      <c r="I161" s="2">
        <f>'As Received'!I161</f>
        <v/>
      </c>
      <c r="J161" s="2">
        <f>'As Received'!J161</f>
        <v/>
      </c>
      <c r="K161" s="2">
        <f>'As Received'!K161</f>
        <v/>
      </c>
      <c r="L161" s="2">
        <f>'As Received'!L161</f>
        <v/>
      </c>
      <c r="M161" s="2">
        <f>'As Received'!M161</f>
        <v/>
      </c>
      <c r="N161" s="2">
        <f>'As Received'!N161</f>
        <v/>
      </c>
      <c r="O161" s="3">
        <f>'As Received'!O161</f>
        <v/>
      </c>
      <c r="P161" s="3">
        <f>'As Received'!P161</f>
        <v/>
      </c>
      <c r="Q161" s="3">
        <f>'As Received'!Q161</f>
        <v/>
      </c>
      <c r="R161" s="2">
        <f>IF(K161="","",K161-(L161+M161+N161))</f>
        <v/>
      </c>
      <c r="S161" s="2">
        <f>IF(J161="","",K161-ROUND(0.8*J161,0))</f>
        <v/>
      </c>
    </row>
    <row r="162">
      <c r="A162" s="2">
        <f>'As Received'!A162</f>
        <v/>
      </c>
      <c r="B162" s="2">
        <f>'As Received'!B162</f>
        <v/>
      </c>
      <c r="C162" s="2">
        <f>'As Received'!C162</f>
        <v/>
      </c>
      <c r="D162" s="3">
        <f>'As Received'!D162</f>
        <v/>
      </c>
      <c r="E162" s="2">
        <f>'As Received'!E162</f>
        <v/>
      </c>
      <c r="F162" s="2">
        <f>'As Received'!F162</f>
        <v/>
      </c>
      <c r="G162" s="2">
        <f>'As Received'!G162</f>
        <v/>
      </c>
      <c r="H162" s="2">
        <f>'As Received'!H162</f>
        <v/>
      </c>
      <c r="I162" s="2">
        <f>'As Received'!I162</f>
        <v/>
      </c>
      <c r="J162" s="2">
        <f>'As Received'!J162</f>
        <v/>
      </c>
      <c r="K162" s="2">
        <f>'As Received'!K162</f>
        <v/>
      </c>
      <c r="L162" s="2">
        <f>'As Received'!L162</f>
        <v/>
      </c>
      <c r="M162" s="2">
        <f>'As Received'!M162</f>
        <v/>
      </c>
      <c r="N162" s="2">
        <f>'As Received'!N162</f>
        <v/>
      </c>
      <c r="O162" s="3">
        <f>'As Received'!O162</f>
        <v/>
      </c>
      <c r="P162" s="3">
        <f>'As Received'!P162</f>
        <v/>
      </c>
      <c r="Q162" s="3">
        <f>'As Received'!Q162</f>
        <v/>
      </c>
      <c r="R162" s="2">
        <f>IF(K162="","",K162-(L162+M162+N162))</f>
        <v/>
      </c>
      <c r="S162" s="2">
        <f>IF(J162="","",K162-ROUND(0.8*J162,0))</f>
        <v/>
      </c>
    </row>
    <row r="163">
      <c r="A163" s="2">
        <f>'As Received'!A163</f>
        <v/>
      </c>
      <c r="B163" s="2">
        <f>'As Received'!B163</f>
        <v/>
      </c>
      <c r="C163" s="2">
        <f>'As Received'!C163</f>
        <v/>
      </c>
      <c r="D163" s="3">
        <f>'As Received'!D163</f>
        <v/>
      </c>
      <c r="E163" s="2">
        <f>'As Received'!E163</f>
        <v/>
      </c>
      <c r="F163" s="2">
        <f>'As Received'!F163</f>
        <v/>
      </c>
      <c r="G163" s="2">
        <f>'As Received'!G163</f>
        <v/>
      </c>
      <c r="H163" s="2">
        <f>'As Received'!H163</f>
        <v/>
      </c>
      <c r="I163" s="2">
        <f>'As Received'!I163</f>
        <v/>
      </c>
      <c r="J163" s="2">
        <f>'As Received'!J163</f>
        <v/>
      </c>
      <c r="K163" s="2">
        <f>'As Received'!K163</f>
        <v/>
      </c>
      <c r="L163" s="2">
        <f>'As Received'!L163</f>
        <v/>
      </c>
      <c r="M163" s="2">
        <f>'As Received'!M163</f>
        <v/>
      </c>
      <c r="N163" s="2">
        <f>'As Received'!N163</f>
        <v/>
      </c>
      <c r="O163" s="3">
        <f>'As Received'!O163</f>
        <v/>
      </c>
      <c r="P163" s="3">
        <f>'As Received'!P163</f>
        <v/>
      </c>
      <c r="Q163" s="3">
        <f>'As Received'!Q163</f>
        <v/>
      </c>
      <c r="R163" s="2">
        <f>IF(K163="","",K163-(L163+M163+N163))</f>
        <v/>
      </c>
      <c r="S163" s="2">
        <f>IF(J163="","",K163-ROUND(0.8*J163,0))</f>
        <v/>
      </c>
    </row>
    <row r="164">
      <c r="A164" s="2">
        <f>'As Received'!A164</f>
        <v/>
      </c>
      <c r="B164" s="2">
        <f>'As Received'!B164</f>
        <v/>
      </c>
      <c r="C164" s="2">
        <f>'As Received'!C164</f>
        <v/>
      </c>
      <c r="D164" s="3">
        <f>'As Received'!D164</f>
        <v/>
      </c>
      <c r="E164" s="2">
        <f>'As Received'!E164</f>
        <v/>
      </c>
      <c r="F164" s="2">
        <f>'As Received'!F164</f>
        <v/>
      </c>
      <c r="G164" s="2">
        <f>'As Received'!G164</f>
        <v/>
      </c>
      <c r="H164" s="2">
        <f>'As Received'!H164</f>
        <v/>
      </c>
      <c r="I164" s="2">
        <f>'As Received'!I164</f>
        <v/>
      </c>
      <c r="J164" s="2">
        <f>'As Received'!J164</f>
        <v/>
      </c>
      <c r="K164" s="2">
        <f>'As Received'!K164</f>
        <v/>
      </c>
      <c r="L164" s="2">
        <f>'As Received'!L164</f>
        <v/>
      </c>
      <c r="M164" s="2">
        <f>'As Received'!M164</f>
        <v/>
      </c>
      <c r="N164" s="2">
        <f>'As Received'!N164</f>
        <v/>
      </c>
      <c r="O164" s="3">
        <f>'As Received'!O164</f>
        <v/>
      </c>
      <c r="P164" s="3">
        <f>'As Received'!P164</f>
        <v/>
      </c>
      <c r="Q164" s="3">
        <f>'As Received'!Q164</f>
        <v/>
      </c>
      <c r="R164" s="2">
        <f>IF(K164="","",K164-(L164+M164+N164))</f>
        <v/>
      </c>
      <c r="S164" s="2">
        <f>IF(J164="","",K164-ROUND(0.8*J164,0))</f>
        <v/>
      </c>
    </row>
    <row r="165">
      <c r="A165" s="2">
        <f>'As Received'!A165</f>
        <v/>
      </c>
      <c r="B165" s="2">
        <f>'As Received'!B165</f>
        <v/>
      </c>
      <c r="C165" s="2">
        <f>'As Received'!C165</f>
        <v/>
      </c>
      <c r="D165" s="3">
        <f>'As Received'!D165</f>
        <v/>
      </c>
      <c r="E165" s="2">
        <f>'As Received'!E165</f>
        <v/>
      </c>
      <c r="F165" s="2">
        <f>'As Received'!F165</f>
        <v/>
      </c>
      <c r="G165" s="2">
        <f>'As Received'!G165</f>
        <v/>
      </c>
      <c r="H165" s="2">
        <f>'As Received'!H165</f>
        <v/>
      </c>
      <c r="I165" s="2">
        <f>'As Received'!I165</f>
        <v/>
      </c>
      <c r="J165" s="2">
        <f>'As Received'!J165</f>
        <v/>
      </c>
      <c r="K165" s="2">
        <f>'As Received'!K165</f>
        <v/>
      </c>
      <c r="L165" s="2">
        <f>'As Received'!L165</f>
        <v/>
      </c>
      <c r="M165" s="2">
        <f>'As Received'!M165</f>
        <v/>
      </c>
      <c r="N165" s="2">
        <f>'As Received'!N165</f>
        <v/>
      </c>
      <c r="O165" s="3">
        <f>'As Received'!O165</f>
        <v/>
      </c>
      <c r="P165" s="3">
        <f>'As Received'!P165</f>
        <v/>
      </c>
      <c r="Q165" s="3">
        <f>'As Received'!Q165</f>
        <v/>
      </c>
      <c r="R165" s="2">
        <f>IF(K165="","",K165-(L165+M165+N165))</f>
        <v/>
      </c>
      <c r="S165" s="2">
        <f>IF(J165="","",K165-ROUND(0.8*J165,0))</f>
        <v/>
      </c>
    </row>
    <row r="166">
      <c r="A166" s="2">
        <f>'As Received'!A166</f>
        <v/>
      </c>
      <c r="B166" s="2">
        <f>'As Received'!B166</f>
        <v/>
      </c>
      <c r="C166" s="2">
        <f>'As Received'!C166</f>
        <v/>
      </c>
      <c r="D166" s="3">
        <f>'As Received'!D166</f>
        <v/>
      </c>
      <c r="E166" s="2">
        <f>'As Received'!E166</f>
        <v/>
      </c>
      <c r="F166" s="2">
        <f>'As Received'!F166</f>
        <v/>
      </c>
      <c r="G166" s="2">
        <f>'As Received'!G166</f>
        <v/>
      </c>
      <c r="H166" s="2">
        <f>'As Received'!H166</f>
        <v/>
      </c>
      <c r="I166" s="2">
        <f>'As Received'!I166</f>
        <v/>
      </c>
      <c r="J166" s="2">
        <f>'As Received'!J166</f>
        <v/>
      </c>
      <c r="K166" s="2">
        <f>'As Received'!K166</f>
        <v/>
      </c>
      <c r="L166" s="2">
        <f>'As Received'!L166</f>
        <v/>
      </c>
      <c r="M166" s="2">
        <f>'As Received'!M166</f>
        <v/>
      </c>
      <c r="N166" s="2">
        <f>'As Received'!N166</f>
        <v/>
      </c>
      <c r="O166" s="3">
        <f>'As Received'!O166</f>
        <v/>
      </c>
      <c r="P166" s="3">
        <f>'As Received'!P166</f>
        <v/>
      </c>
      <c r="Q166" s="3">
        <f>'As Received'!Q166</f>
        <v/>
      </c>
      <c r="R166" s="2">
        <f>IF(K166="","",K166-(L166+M166+N166))</f>
        <v/>
      </c>
      <c r="S166" s="2">
        <f>IF(J166="","",K166-ROUND(0.8*J166,0))</f>
        <v/>
      </c>
    </row>
    <row r="167">
      <c r="C167" s="4" t="inlineStr">
        <is>
          <t>TOTAL</t>
        </is>
      </c>
      <c r="J167" s="5">
        <f>SUM(J2:J166)</f>
        <v/>
      </c>
      <c r="K167" s="5">
        <f>SUM(K2:K166)</f>
        <v/>
      </c>
      <c r="L167" s="5">
        <f>SUM(L2:L166)</f>
        <v/>
      </c>
      <c r="M167" s="5">
        <f>SUM(M2:M166)</f>
        <v/>
      </c>
      <c r="N167" s="5">
        <f>SUM(N2:N166)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8" customWidth="1" min="4" max="4"/>
    <col width="7" customWidth="1" min="5" max="5"/>
    <col width="13" customWidth="1" min="6" max="6"/>
    <col width="13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>
      <c r="A1" s="1" t="inlineStr">
        <is>
          <t>DATE</t>
        </is>
      </c>
      <c r="B1" s="1" t="inlineStr">
        <is>
          <t>Airline code</t>
        </is>
      </c>
      <c r="C1" s="1" t="inlineStr">
        <is>
          <t>Flight Designator</t>
        </is>
      </c>
      <c r="D1" s="1" t="inlineStr">
        <is>
          <t>SOBT</t>
        </is>
      </c>
      <c r="E1" s="1" t="inlineStr">
        <is>
          <t>Hour</t>
        </is>
      </c>
      <c r="F1" s="1" t="inlineStr">
        <is>
          <t>Routing</t>
        </is>
      </c>
      <c r="G1" s="1" t="inlineStr">
        <is>
          <t>Traffic Type</t>
        </is>
      </c>
      <c r="H1" s="1" t="inlineStr">
        <is>
          <t>Public Terminal</t>
        </is>
      </c>
      <c r="I1" s="1" t="inlineStr">
        <is>
          <t>GHA</t>
        </is>
      </c>
      <c r="J1" s="1" t="inlineStr">
        <is>
          <t>Seats</t>
        </is>
      </c>
      <c r="K1" s="1" t="inlineStr">
        <is>
          <t>Pax</t>
        </is>
      </c>
      <c r="L1" s="1" t="inlineStr">
        <is>
          <t>D-4 Pax</t>
        </is>
      </c>
      <c r="M1" s="1" t="inlineStr">
        <is>
          <t>D-3 Pax</t>
        </is>
      </c>
      <c r="N1" s="1" t="inlineStr">
        <is>
          <t>D-2 Pax</t>
        </is>
      </c>
      <c r="O1" s="1" t="inlineStr">
        <is>
          <t>D-4</t>
        </is>
      </c>
      <c r="P1" s="1" t="inlineStr">
        <is>
          <t>D-3</t>
        </is>
      </c>
      <c r="Q1" s="1" t="inlineStr">
        <is>
          <t>D-2</t>
        </is>
      </c>
    </row>
    <row r="2">
      <c r="A2" s="2" t="inlineStr">
        <is>
          <t>21-06-2026</t>
        </is>
      </c>
      <c r="B2" s="2" t="inlineStr">
        <is>
          <t>AI</t>
        </is>
      </c>
      <c r="C2" s="2" t="inlineStr">
        <is>
          <t>AI 173</t>
        </is>
      </c>
      <c r="D2" s="3" t="n">
        <v>36527.00347222222</v>
      </c>
      <c r="E2" s="2" t="n">
        <v>0</v>
      </c>
      <c r="F2" s="2" t="inlineStr">
        <is>
          <t>DEL-CCU-SFO</t>
        </is>
      </c>
      <c r="G2" s="2" t="inlineStr">
        <is>
          <t>INTERNATIONAL</t>
        </is>
      </c>
      <c r="H2" s="2" t="inlineStr">
        <is>
          <t>Terminal 3</t>
        </is>
      </c>
      <c r="I2" s="2" t="inlineStr">
        <is>
          <t>AISATS</t>
        </is>
      </c>
      <c r="J2" s="2" t="n">
        <v>288</v>
      </c>
      <c r="K2" s="2" t="n">
        <v>230</v>
      </c>
      <c r="L2" s="2" t="n">
        <v>69</v>
      </c>
      <c r="M2" s="2" t="n">
        <v>92</v>
      </c>
      <c r="N2" s="2" t="n">
        <v>69</v>
      </c>
      <c r="O2" s="3" t="n">
        <v>36526.83680555555</v>
      </c>
      <c r="P2" s="3" t="n">
        <v>36526.87847222222</v>
      </c>
      <c r="Q2" s="3" t="n">
        <v>36526.92013888889</v>
      </c>
    </row>
    <row r="3">
      <c r="A3" s="2" t="inlineStr">
        <is>
          <t>21-06-2026</t>
        </is>
      </c>
      <c r="B3" s="2" t="inlineStr">
        <is>
          <t>AI</t>
        </is>
      </c>
      <c r="C3" s="2" t="inlineStr">
        <is>
          <t>AI 312</t>
        </is>
      </c>
      <c r="D3" s="3" t="n">
        <v>36527.00347222222</v>
      </c>
      <c r="E3" s="2" t="n">
        <v>0</v>
      </c>
      <c r="F3" s="2" t="inlineStr">
        <is>
          <t>DEL-ICN</t>
        </is>
      </c>
      <c r="G3" s="2" t="inlineStr">
        <is>
          <t>INTERNATIONAL</t>
        </is>
      </c>
      <c r="H3" s="2" t="inlineStr">
        <is>
          <t>Terminal 3</t>
        </is>
      </c>
      <c r="I3" s="2" t="inlineStr">
        <is>
          <t>AISATS</t>
        </is>
      </c>
      <c r="J3" s="2" t="n">
        <v>259</v>
      </c>
      <c r="K3" s="2" t="n">
        <v>207</v>
      </c>
      <c r="L3" s="2" t="n">
        <v>62</v>
      </c>
      <c r="M3" s="2" t="n">
        <v>83</v>
      </c>
      <c r="N3" s="2" t="n">
        <v>62</v>
      </c>
      <c r="O3" s="3" t="n">
        <v>36526.83680555555</v>
      </c>
      <c r="P3" s="3" t="n">
        <v>36526.87847222222</v>
      </c>
      <c r="Q3" s="3" t="n">
        <v>36526.92013888889</v>
      </c>
    </row>
    <row r="4">
      <c r="A4" s="2" t="inlineStr">
        <is>
          <t>21-06-2026</t>
        </is>
      </c>
      <c r="B4" s="2" t="inlineStr">
        <is>
          <t>VJ</t>
        </is>
      </c>
      <c r="C4" s="2" t="inlineStr">
        <is>
          <t>VJ 972</t>
        </is>
      </c>
      <c r="D4" s="3" t="n">
        <v>36527.00347222222</v>
      </c>
      <c r="E4" s="2" t="n">
        <v>0</v>
      </c>
      <c r="F4" s="2" t="inlineStr">
        <is>
          <t>DEL-HAN</t>
        </is>
      </c>
      <c r="G4" s="2" t="inlineStr">
        <is>
          <t>INTERNATIONAL</t>
        </is>
      </c>
      <c r="H4" s="2" t="inlineStr">
        <is>
          <t>Terminal 3</t>
        </is>
      </c>
      <c r="I4" s="2" t="inlineStr">
        <is>
          <t>BFS</t>
        </is>
      </c>
      <c r="J4" s="2" t="n">
        <v>377</v>
      </c>
      <c r="K4" s="2" t="n">
        <v>302</v>
      </c>
      <c r="L4" s="2" t="n">
        <v>91</v>
      </c>
      <c r="M4" s="2" t="n">
        <v>121</v>
      </c>
      <c r="N4" s="2" t="n">
        <v>91</v>
      </c>
      <c r="O4" s="3" t="n">
        <v>36526.83680555555</v>
      </c>
      <c r="P4" s="3" t="n">
        <v>36526.87847222222</v>
      </c>
      <c r="Q4" s="3" t="n">
        <v>36526.92013888889</v>
      </c>
    </row>
    <row r="5">
      <c r="A5" s="2" t="inlineStr">
        <is>
          <t>21-06-2026</t>
        </is>
      </c>
      <c r="B5" s="2" t="inlineStr">
        <is>
          <t>AI</t>
        </is>
      </c>
      <c r="C5" s="2" t="inlineStr">
        <is>
          <t>AI 187</t>
        </is>
      </c>
      <c r="D5" s="3" t="n">
        <v>36527.00694444445</v>
      </c>
      <c r="E5" s="2" t="n">
        <v>0</v>
      </c>
      <c r="F5" s="2" t="inlineStr">
        <is>
          <t>DEL-VIE-YYZ</t>
        </is>
      </c>
      <c r="G5" s="2" t="inlineStr">
        <is>
          <t>INTERNATIONAL</t>
        </is>
      </c>
      <c r="H5" s="2" t="inlineStr">
        <is>
          <t>Terminal 3</t>
        </is>
      </c>
      <c r="I5" s="2" t="inlineStr">
        <is>
          <t>AISATS</t>
        </is>
      </c>
      <c r="J5" s="2" t="n">
        <v>328</v>
      </c>
      <c r="K5" s="2" t="n">
        <v>262</v>
      </c>
      <c r="L5" s="2" t="n">
        <v>79</v>
      </c>
      <c r="M5" s="2" t="n">
        <v>105</v>
      </c>
      <c r="N5" s="2" t="n">
        <v>79</v>
      </c>
      <c r="O5" s="3" t="n">
        <v>36526.84027777778</v>
      </c>
      <c r="P5" s="3" t="n">
        <v>36526.88194444445</v>
      </c>
      <c r="Q5" s="3" t="n">
        <v>36526.92361111111</v>
      </c>
    </row>
    <row r="6">
      <c r="A6" s="2" t="inlineStr">
        <is>
          <t>21-06-2026</t>
        </is>
      </c>
      <c r="B6" s="2" t="inlineStr">
        <is>
          <t>AI</t>
        </is>
      </c>
      <c r="C6" s="2" t="inlineStr">
        <is>
          <t>AI 161</t>
        </is>
      </c>
      <c r="D6" s="3" t="n">
        <v>36527.02083333334</v>
      </c>
      <c r="E6" s="2" t="n">
        <v>0</v>
      </c>
      <c r="F6" s="2" t="inlineStr">
        <is>
          <t>DEL-LHR</t>
        </is>
      </c>
      <c r="G6" s="2" t="inlineStr">
        <is>
          <t>INTERNATIONAL</t>
        </is>
      </c>
      <c r="H6" s="2" t="inlineStr">
        <is>
          <t>Terminal 3</t>
        </is>
      </c>
      <c r="I6" s="2" t="inlineStr">
        <is>
          <t>AISATS</t>
        </is>
      </c>
      <c r="J6" s="2" t="n">
        <v>316</v>
      </c>
      <c r="K6" s="2" t="n">
        <v>253</v>
      </c>
      <c r="L6" s="2" t="n">
        <v>76</v>
      </c>
      <c r="M6" s="2" t="n">
        <v>101</v>
      </c>
      <c r="N6" s="2" t="n">
        <v>76</v>
      </c>
      <c r="O6" s="3" t="n">
        <v>36526.85416666666</v>
      </c>
      <c r="P6" s="3" t="n">
        <v>36526.89583333334</v>
      </c>
      <c r="Q6" s="3" t="n">
        <v>36526.9375</v>
      </c>
    </row>
    <row r="7">
      <c r="A7" s="2" t="inlineStr">
        <is>
          <t>21-06-2026</t>
        </is>
      </c>
      <c r="B7" s="2" t="inlineStr">
        <is>
          <t>AI</t>
        </is>
      </c>
      <c r="C7" s="2" t="inlineStr">
        <is>
          <t>AI 2336</t>
        </is>
      </c>
      <c r="D7" s="3" t="n">
        <v>36527.02083333334</v>
      </c>
      <c r="E7" s="2" t="n">
        <v>0</v>
      </c>
      <c r="F7" s="2" t="inlineStr">
        <is>
          <t>DEL-BKK</t>
        </is>
      </c>
      <c r="G7" s="2" t="inlineStr">
        <is>
          <t>INTERNATIONAL</t>
        </is>
      </c>
      <c r="H7" s="2" t="inlineStr">
        <is>
          <t>Terminal 3</t>
        </is>
      </c>
      <c r="I7" s="2" t="inlineStr">
        <is>
          <t>AISATS</t>
        </is>
      </c>
      <c r="J7" s="2" t="n">
        <v>164</v>
      </c>
      <c r="K7" s="2" t="n">
        <v>131</v>
      </c>
      <c r="L7" s="2" t="n">
        <v>39</v>
      </c>
      <c r="M7" s="2" t="n">
        <v>52</v>
      </c>
      <c r="N7" s="2" t="n">
        <v>39</v>
      </c>
      <c r="O7" s="3" t="n">
        <v>36526.85416666666</v>
      </c>
      <c r="P7" s="3" t="n">
        <v>36526.89583333334</v>
      </c>
      <c r="Q7" s="3" t="n">
        <v>36526.9375</v>
      </c>
    </row>
    <row r="8">
      <c r="A8" s="2" t="inlineStr">
        <is>
          <t>21-06-2026</t>
        </is>
      </c>
      <c r="B8" s="2" t="inlineStr">
        <is>
          <t>AI</t>
        </is>
      </c>
      <c r="C8" s="2" t="inlineStr">
        <is>
          <t>AI 2118</t>
        </is>
      </c>
      <c r="D8" s="3" t="n">
        <v>36527.02777777778</v>
      </c>
      <c r="E8" s="2" t="n">
        <v>0</v>
      </c>
      <c r="F8" s="2" t="inlineStr">
        <is>
          <t>DEL-SIN</t>
        </is>
      </c>
      <c r="G8" s="2" t="inlineStr">
        <is>
          <t>INTERNATIONAL</t>
        </is>
      </c>
      <c r="H8" s="2" t="inlineStr">
        <is>
          <t>Terminal 3</t>
        </is>
      </c>
      <c r="I8" s="2" t="inlineStr">
        <is>
          <t>AISATS</t>
        </is>
      </c>
      <c r="J8" s="2" t="n">
        <v>188</v>
      </c>
      <c r="K8" s="2" t="n">
        <v>150</v>
      </c>
      <c r="L8" s="2" t="n">
        <v>45</v>
      </c>
      <c r="M8" s="2" t="n">
        <v>60</v>
      </c>
      <c r="N8" s="2" t="n">
        <v>45</v>
      </c>
      <c r="O8" s="3" t="n">
        <v>36526.86111111111</v>
      </c>
      <c r="P8" s="3" t="n">
        <v>36526.90277777778</v>
      </c>
      <c r="Q8" s="3" t="n">
        <v>36526.94444444445</v>
      </c>
    </row>
    <row r="9">
      <c r="A9" s="2" t="inlineStr">
        <is>
          <t>21-06-2026</t>
        </is>
      </c>
      <c r="B9" s="2" t="inlineStr">
        <is>
          <t>AF</t>
        </is>
      </c>
      <c r="C9" s="2" t="inlineStr">
        <is>
          <t>AF 283</t>
        </is>
      </c>
      <c r="D9" s="3" t="n">
        <v>36527.03472222222</v>
      </c>
      <c r="E9" s="2" t="n">
        <v>0</v>
      </c>
      <c r="F9" s="2" t="inlineStr">
        <is>
          <t>DEL-CDG</t>
        </is>
      </c>
      <c r="G9" s="2" t="inlineStr">
        <is>
          <t>INTERNATIONAL</t>
        </is>
      </c>
      <c r="H9" s="2" t="inlineStr">
        <is>
          <t>Terminal 3</t>
        </is>
      </c>
      <c r="I9" s="2" t="inlineStr">
        <is>
          <t>AISATS</t>
        </is>
      </c>
      <c r="J9" s="2" t="n">
        <v>188</v>
      </c>
      <c r="K9" s="2" t="n">
        <v>150</v>
      </c>
      <c r="L9" s="2" t="n">
        <v>45</v>
      </c>
      <c r="M9" s="2" t="n">
        <v>60</v>
      </c>
      <c r="N9" s="2" t="n">
        <v>45</v>
      </c>
      <c r="O9" s="3" t="n">
        <v>36526.86805555555</v>
      </c>
      <c r="P9" s="3" t="n">
        <v>36526.90972222222</v>
      </c>
      <c r="Q9" s="3" t="n">
        <v>36526.95138888889</v>
      </c>
    </row>
    <row r="10">
      <c r="A10" s="2" t="inlineStr">
        <is>
          <t>21-06-2026</t>
        </is>
      </c>
      <c r="B10" s="2" t="inlineStr">
        <is>
          <t>AI</t>
        </is>
      </c>
      <c r="C10" s="2" t="inlineStr">
        <is>
          <t>AI 302</t>
        </is>
      </c>
      <c r="D10" s="3" t="n">
        <v>36527.03819444445</v>
      </c>
      <c r="E10" s="2" t="n">
        <v>0</v>
      </c>
      <c r="F10" s="2" t="inlineStr">
        <is>
          <t>DEL-SYD</t>
        </is>
      </c>
      <c r="G10" s="2" t="inlineStr">
        <is>
          <t>INTERNATIONAL</t>
        </is>
      </c>
      <c r="H10" s="2" t="inlineStr">
        <is>
          <t>Terminal 3</t>
        </is>
      </c>
      <c r="I10" s="2" t="inlineStr">
        <is>
          <t>BFS</t>
        </is>
      </c>
      <c r="J10" s="2" t="n">
        <v>328</v>
      </c>
      <c r="K10" s="2" t="n">
        <v>262</v>
      </c>
      <c r="L10" s="2" t="n">
        <v>79</v>
      </c>
      <c r="M10" s="2" t="n">
        <v>105</v>
      </c>
      <c r="N10" s="2" t="n">
        <v>79</v>
      </c>
      <c r="O10" s="3" t="n">
        <v>36526.87152777778</v>
      </c>
      <c r="P10" s="3" t="n">
        <v>36526.91319444445</v>
      </c>
      <c r="Q10" s="3" t="n">
        <v>36526.95486111111</v>
      </c>
    </row>
    <row r="11">
      <c r="A11" s="2" t="inlineStr">
        <is>
          <t>21-06-2026</t>
        </is>
      </c>
      <c r="B11" s="2" t="inlineStr">
        <is>
          <t>AI</t>
        </is>
      </c>
      <c r="C11" s="2" t="inlineStr">
        <is>
          <t>AI 277</t>
        </is>
      </c>
      <c r="D11" s="3" t="n">
        <v>36527.04166666666</v>
      </c>
      <c r="E11" s="2" t="n">
        <v>1</v>
      </c>
      <c r="F11" s="2" t="inlineStr">
        <is>
          <t>DEL-CMB</t>
        </is>
      </c>
      <c r="G11" s="2" t="inlineStr">
        <is>
          <t>INTERNATIONAL</t>
        </is>
      </c>
      <c r="H11" s="2" t="inlineStr">
        <is>
          <t>Terminal 3</t>
        </is>
      </c>
      <c r="I11" s="2" t="inlineStr">
        <is>
          <t>AISATS</t>
        </is>
      </c>
      <c r="J11" s="2" t="n">
        <v>259</v>
      </c>
      <c r="K11" s="2" t="n">
        <v>207</v>
      </c>
      <c r="L11" s="2" t="n">
        <v>62</v>
      </c>
      <c r="M11" s="2" t="n">
        <v>83</v>
      </c>
      <c r="N11" s="2" t="n">
        <v>62</v>
      </c>
      <c r="O11" s="3" t="n">
        <v>36526.875</v>
      </c>
      <c r="P11" s="3" t="n">
        <v>36526.91666666666</v>
      </c>
      <c r="Q11" s="3" t="n">
        <v>36526.95833333334</v>
      </c>
    </row>
    <row r="12">
      <c r="A12" s="2" t="inlineStr">
        <is>
          <t>21-06-2026</t>
        </is>
      </c>
      <c r="B12" s="2" t="inlineStr">
        <is>
          <t>LX</t>
        </is>
      </c>
      <c r="C12" s="2" t="inlineStr">
        <is>
          <t>LX 147</t>
        </is>
      </c>
      <c r="D12" s="3" t="n">
        <v>36527.04513888889</v>
      </c>
      <c r="E12" s="2" t="n">
        <v>1</v>
      </c>
      <c r="F12" s="2" t="inlineStr">
        <is>
          <t>DEL-ZRH</t>
        </is>
      </c>
      <c r="G12" s="2" t="inlineStr">
        <is>
          <t>INTERNATIONAL</t>
        </is>
      </c>
      <c r="H12" s="2" t="inlineStr">
        <is>
          <t>Terminal 3</t>
        </is>
      </c>
      <c r="I12" s="2" t="inlineStr">
        <is>
          <t>AISATS</t>
        </is>
      </c>
      <c r="J12" s="2" t="n">
        <v>182</v>
      </c>
      <c r="K12" s="2" t="n">
        <v>146</v>
      </c>
      <c r="L12" s="2" t="n">
        <v>44</v>
      </c>
      <c r="M12" s="2" t="n">
        <v>58</v>
      </c>
      <c r="N12" s="2" t="n">
        <v>44</v>
      </c>
      <c r="O12" s="3" t="n">
        <v>36526.87847222222</v>
      </c>
      <c r="P12" s="3" t="n">
        <v>36526.92013888889</v>
      </c>
      <c r="Q12" s="3" t="n">
        <v>36526.96180555555</v>
      </c>
    </row>
    <row r="13">
      <c r="A13" s="2" t="inlineStr">
        <is>
          <t>21-06-2026</t>
        </is>
      </c>
      <c r="B13" s="2" t="inlineStr">
        <is>
          <t>CX</t>
        </is>
      </c>
      <c r="C13" s="2" t="inlineStr">
        <is>
          <t>CX 694</t>
        </is>
      </c>
      <c r="D13" s="3" t="n">
        <v>36527.04861111111</v>
      </c>
      <c r="E13" s="2" t="n">
        <v>1</v>
      </c>
      <c r="F13" s="2" t="inlineStr">
        <is>
          <t>DEL-HKG</t>
        </is>
      </c>
      <c r="G13" s="2" t="inlineStr">
        <is>
          <t>INTERNATIONAL</t>
        </is>
      </c>
      <c r="H13" s="2" t="inlineStr">
        <is>
          <t>Terminal 3</t>
        </is>
      </c>
      <c r="I13" s="2" t="inlineStr">
        <is>
          <t>BFS</t>
        </is>
      </c>
      <c r="J13" s="2" t="n">
        <v>236</v>
      </c>
      <c r="K13" s="2" t="n">
        <v>189</v>
      </c>
      <c r="L13" s="2" t="n">
        <v>57</v>
      </c>
      <c r="M13" s="2" t="n">
        <v>76</v>
      </c>
      <c r="N13" s="2" t="n">
        <v>57</v>
      </c>
      <c r="O13" s="3" t="n">
        <v>36526.88194444445</v>
      </c>
      <c r="P13" s="3" t="n">
        <v>36526.92361111111</v>
      </c>
      <c r="Q13" s="3" t="n">
        <v>36526.96527777778</v>
      </c>
    </row>
    <row r="14">
      <c r="A14" s="2" t="inlineStr">
        <is>
          <t>21-06-2026</t>
        </is>
      </c>
      <c r="B14" s="2" t="inlineStr">
        <is>
          <t>KC</t>
        </is>
      </c>
      <c r="C14" s="2" t="inlineStr">
        <is>
          <t>KC 964</t>
        </is>
      </c>
      <c r="D14" s="3" t="n">
        <v>36527.04861111111</v>
      </c>
      <c r="E14" s="2" t="n">
        <v>1</v>
      </c>
      <c r="F14" s="2" t="inlineStr">
        <is>
          <t>DEL-ALA</t>
        </is>
      </c>
      <c r="G14" s="2" t="inlineStr">
        <is>
          <t>INTERNATIONAL</t>
        </is>
      </c>
      <c r="H14" s="2" t="inlineStr">
        <is>
          <t>Terminal 3</t>
        </is>
      </c>
      <c r="I14" s="2" t="inlineStr">
        <is>
          <t>AISATS</t>
        </is>
      </c>
      <c r="J14" s="2" t="n">
        <v>280</v>
      </c>
      <c r="K14" s="2" t="n">
        <v>224</v>
      </c>
      <c r="L14" s="2" t="n">
        <v>67</v>
      </c>
      <c r="M14" s="2" t="n">
        <v>90</v>
      </c>
      <c r="N14" s="2" t="n">
        <v>67</v>
      </c>
      <c r="O14" s="3" t="n">
        <v>36526.88194444445</v>
      </c>
      <c r="P14" s="3" t="n">
        <v>36526.92361111111</v>
      </c>
      <c r="Q14" s="3" t="n">
        <v>36526.96527777778</v>
      </c>
    </row>
    <row r="15">
      <c r="A15" s="2" t="inlineStr">
        <is>
          <t>21-06-2026</t>
        </is>
      </c>
      <c r="B15" s="2" t="inlineStr">
        <is>
          <t>AI</t>
        </is>
      </c>
      <c r="C15" s="2" t="inlineStr">
        <is>
          <t>AI 308</t>
        </is>
      </c>
      <c r="D15" s="3" t="n">
        <v>36527.05208333334</v>
      </c>
      <c r="E15" s="2" t="n">
        <v>1</v>
      </c>
      <c r="F15" s="2" t="inlineStr">
        <is>
          <t>DEL-MEL</t>
        </is>
      </c>
      <c r="G15" s="2" t="inlineStr">
        <is>
          <t>INTERNATIONAL</t>
        </is>
      </c>
      <c r="H15" s="2" t="inlineStr">
        <is>
          <t>Terminal 3</t>
        </is>
      </c>
      <c r="I15" s="2" t="inlineStr">
        <is>
          <t>AISATS</t>
        </is>
      </c>
      <c r="J15" s="2" t="n">
        <v>179</v>
      </c>
      <c r="K15" s="2" t="n">
        <v>143</v>
      </c>
      <c r="L15" s="2" t="n">
        <v>43</v>
      </c>
      <c r="M15" s="2" t="n">
        <v>57</v>
      </c>
      <c r="N15" s="2" t="n">
        <v>43</v>
      </c>
      <c r="O15" s="3" t="n">
        <v>36526.88541666666</v>
      </c>
      <c r="P15" s="3" t="n">
        <v>36526.92708333334</v>
      </c>
      <c r="Q15" s="3" t="n">
        <v>36526.96875</v>
      </c>
    </row>
    <row r="16">
      <c r="A16" s="2" t="inlineStr">
        <is>
          <t>21-06-2026</t>
        </is>
      </c>
      <c r="B16" s="2" t="inlineStr">
        <is>
          <t>AI</t>
        </is>
      </c>
      <c r="C16" s="2" t="inlineStr">
        <is>
          <t>AI 2390</t>
        </is>
      </c>
      <c r="D16" s="3" t="n">
        <v>36527.05555555555</v>
      </c>
      <c r="E16" s="2" t="n">
        <v>1</v>
      </c>
      <c r="F16" s="2" t="inlineStr">
        <is>
          <t>DEL-HAN</t>
        </is>
      </c>
      <c r="G16" s="2" t="inlineStr">
        <is>
          <t>INTERNATIONAL</t>
        </is>
      </c>
      <c r="H16" s="2" t="inlineStr">
        <is>
          <t>Terminal 3</t>
        </is>
      </c>
      <c r="I16" s="2" t="inlineStr">
        <is>
          <t>AISATS</t>
        </is>
      </c>
      <c r="J16" s="2" t="n">
        <v>259</v>
      </c>
      <c r="K16" s="2" t="n">
        <v>207</v>
      </c>
      <c r="L16" s="2" t="n">
        <v>62</v>
      </c>
      <c r="M16" s="2" t="n">
        <v>83</v>
      </c>
      <c r="N16" s="2" t="n">
        <v>62</v>
      </c>
      <c r="O16" s="3" t="n">
        <v>36526.88888888889</v>
      </c>
      <c r="P16" s="3" t="n">
        <v>36526.93055555555</v>
      </c>
      <c r="Q16" s="3" t="n">
        <v>36526.97222222222</v>
      </c>
    </row>
    <row r="17">
      <c r="A17" s="2" t="inlineStr">
        <is>
          <t>21-06-2026</t>
        </is>
      </c>
      <c r="B17" s="2" t="inlineStr">
        <is>
          <t>AI</t>
        </is>
      </c>
      <c r="C17" s="2" t="inlineStr">
        <is>
          <t>AI 2378</t>
        </is>
      </c>
      <c r="D17" s="3" t="n">
        <v>36527.05902777778</v>
      </c>
      <c r="E17" s="2" t="n">
        <v>1</v>
      </c>
      <c r="F17" s="2" t="inlineStr">
        <is>
          <t>DEL-HKT</t>
        </is>
      </c>
      <c r="G17" s="2" t="inlineStr">
        <is>
          <t>INTERNATIONAL</t>
        </is>
      </c>
      <c r="H17" s="2" t="inlineStr">
        <is>
          <t>Terminal 3</t>
        </is>
      </c>
      <c r="I17" s="2" t="inlineStr">
        <is>
          <t>AISATS</t>
        </is>
      </c>
      <c r="J17" s="2" t="n">
        <v>164</v>
      </c>
      <c r="K17" s="2" t="n">
        <v>131</v>
      </c>
      <c r="L17" s="2" t="n">
        <v>39</v>
      </c>
      <c r="M17" s="2" t="n">
        <v>52</v>
      </c>
      <c r="N17" s="2" t="n">
        <v>39</v>
      </c>
      <c r="O17" s="3" t="n">
        <v>36526.89236111111</v>
      </c>
      <c r="P17" s="3" t="n">
        <v>36526.93402777778</v>
      </c>
      <c r="Q17" s="3" t="n">
        <v>36526.97569444445</v>
      </c>
    </row>
    <row r="18">
      <c r="A18" s="2" t="inlineStr">
        <is>
          <t>21-06-2026</t>
        </is>
      </c>
      <c r="B18" s="2" t="inlineStr">
        <is>
          <t>BA</t>
        </is>
      </c>
      <c r="C18" s="2" t="inlineStr">
        <is>
          <t>BA 142</t>
        </is>
      </c>
      <c r="D18" s="3" t="n">
        <v>36527.06597222222</v>
      </c>
      <c r="E18" s="2" t="n">
        <v>1</v>
      </c>
      <c r="F18" s="2" t="inlineStr">
        <is>
          <t>DEL-LHR</t>
        </is>
      </c>
      <c r="G18" s="2" t="inlineStr">
        <is>
          <t>INTERNATIONAL</t>
        </is>
      </c>
      <c r="H18" s="2" t="inlineStr">
        <is>
          <t>Terminal 3</t>
        </is>
      </c>
      <c r="I18" s="2" t="inlineStr">
        <is>
          <t>Ramp 360</t>
        </is>
      </c>
      <c r="J18" s="2" t="n">
        <v>272</v>
      </c>
      <c r="K18" s="2" t="n">
        <v>218</v>
      </c>
      <c r="L18" s="2" t="n">
        <v>65</v>
      </c>
      <c r="M18" s="2" t="n">
        <v>87</v>
      </c>
      <c r="N18" s="2" t="n">
        <v>65</v>
      </c>
      <c r="O18" s="3" t="n">
        <v>36526.89930555555</v>
      </c>
      <c r="P18" s="3" t="n">
        <v>36526.94097222222</v>
      </c>
      <c r="Q18" s="3" t="n">
        <v>36526.98263888889</v>
      </c>
    </row>
    <row r="19">
      <c r="A19" s="2" t="inlineStr">
        <is>
          <t>21-06-2026</t>
        </is>
      </c>
      <c r="B19" s="2" t="inlineStr">
        <is>
          <t>LX</t>
        </is>
      </c>
      <c r="C19" s="2" t="inlineStr">
        <is>
          <t>LX 2647</t>
        </is>
      </c>
      <c r="D19" s="3" t="n">
        <v>36527.06944444445</v>
      </c>
      <c r="E19" s="2" t="n">
        <v>1</v>
      </c>
      <c r="F19" s="2" t="inlineStr">
        <is>
          <t>DEL-ZRH</t>
        </is>
      </c>
      <c r="G19" s="2" t="inlineStr">
        <is>
          <t>INTERNATIONAL</t>
        </is>
      </c>
      <c r="H19" s="2" t="inlineStr">
        <is>
          <t>Terminal 3</t>
        </is>
      </c>
      <c r="I19" s="2" t="inlineStr">
        <is>
          <t>BFS</t>
        </is>
      </c>
      <c r="J19" s="2" t="n">
        <v>235</v>
      </c>
      <c r="K19" s="2" t="n">
        <v>188</v>
      </c>
      <c r="L19" s="2" t="n">
        <v>56</v>
      </c>
      <c r="M19" s="2" t="n">
        <v>75</v>
      </c>
      <c r="N19" s="2" t="n">
        <v>56</v>
      </c>
      <c r="O19" s="3" t="n">
        <v>36526.90277777778</v>
      </c>
      <c r="P19" s="3" t="n">
        <v>36526.94444444445</v>
      </c>
      <c r="Q19" s="3" t="n">
        <v>36526.98611111111</v>
      </c>
    </row>
    <row r="20">
      <c r="A20" s="2" t="inlineStr">
        <is>
          <t>21-06-2026</t>
        </is>
      </c>
      <c r="B20" s="2" t="inlineStr">
        <is>
          <t>LH</t>
        </is>
      </c>
      <c r="C20" s="2" t="inlineStr">
        <is>
          <t>LH 763</t>
        </is>
      </c>
      <c r="D20" s="3" t="n">
        <v>36527.07291666666</v>
      </c>
      <c r="E20" s="2" t="n">
        <v>1</v>
      </c>
      <c r="F20" s="2" t="inlineStr">
        <is>
          <t>DEL-MUC</t>
        </is>
      </c>
      <c r="G20" s="2" t="inlineStr">
        <is>
          <t>INTERNATIONAL</t>
        </is>
      </c>
      <c r="H20" s="2" t="inlineStr">
        <is>
          <t>Terminal 3</t>
        </is>
      </c>
      <c r="I20" s="2" t="inlineStr">
        <is>
          <t>BFS</t>
        </is>
      </c>
      <c r="J20" s="2" t="n">
        <v>509</v>
      </c>
      <c r="K20" s="2" t="n">
        <v>407</v>
      </c>
      <c r="L20" s="2" t="n">
        <v>122</v>
      </c>
      <c r="M20" s="2" t="n">
        <v>163</v>
      </c>
      <c r="N20" s="2" t="n">
        <v>122</v>
      </c>
      <c r="O20" s="3" t="n">
        <v>36526.90625</v>
      </c>
      <c r="P20" s="3" t="n">
        <v>36526.94791666666</v>
      </c>
      <c r="Q20" s="3" t="n">
        <v>36526.98958333334</v>
      </c>
    </row>
    <row r="21">
      <c r="A21" s="2" t="inlineStr">
        <is>
          <t>21-06-2026</t>
        </is>
      </c>
      <c r="B21" s="2" t="inlineStr">
        <is>
          <t>AI</t>
        </is>
      </c>
      <c r="C21" s="2" t="inlineStr">
        <is>
          <t>AI 4307</t>
        </is>
      </c>
      <c r="D21" s="3" t="n">
        <v>36527.08333333334</v>
      </c>
      <c r="E21" s="2" t="n">
        <v>2</v>
      </c>
      <c r="F21" s="2" t="inlineStr">
        <is>
          <t>DEL-DXB</t>
        </is>
      </c>
      <c r="G21" s="2" t="inlineStr">
        <is>
          <t>INTERNATIONAL</t>
        </is>
      </c>
      <c r="H21" s="2" t="inlineStr">
        <is>
          <t>Terminal 3</t>
        </is>
      </c>
      <c r="I21" s="2" t="inlineStr">
        <is>
          <t>AISATS</t>
        </is>
      </c>
      <c r="J21" s="2" t="n">
        <v>259</v>
      </c>
      <c r="K21" s="2" t="n">
        <v>207</v>
      </c>
      <c r="L21" s="2" t="n">
        <v>62</v>
      </c>
      <c r="M21" s="2" t="n">
        <v>83</v>
      </c>
      <c r="N21" s="2" t="n">
        <v>62</v>
      </c>
      <c r="O21" s="3" t="n">
        <v>36526.91666666666</v>
      </c>
      <c r="P21" s="3" t="n">
        <v>36526.95833333334</v>
      </c>
      <c r="Q21" s="3" t="n">
        <v>36527</v>
      </c>
    </row>
    <row r="22">
      <c r="A22" s="2" t="inlineStr">
        <is>
          <t>21-06-2026</t>
        </is>
      </c>
      <c r="B22" s="2" t="inlineStr">
        <is>
          <t>VS</t>
        </is>
      </c>
      <c r="C22" s="2" t="inlineStr">
        <is>
          <t>VS 303</t>
        </is>
      </c>
      <c r="D22" s="3" t="n">
        <v>36527.08680555555</v>
      </c>
      <c r="E22" s="2" t="n">
        <v>2</v>
      </c>
      <c r="F22" s="2" t="inlineStr">
        <is>
          <t>DEL-LHR</t>
        </is>
      </c>
      <c r="G22" s="2" t="inlineStr">
        <is>
          <t>INTERNATIONAL</t>
        </is>
      </c>
      <c r="H22" s="2" t="inlineStr">
        <is>
          <t>Terminal 3</t>
        </is>
      </c>
      <c r="I22" s="2" t="inlineStr">
        <is>
          <t>AISATS</t>
        </is>
      </c>
      <c r="J22" s="2" t="n">
        <v>397</v>
      </c>
      <c r="K22" s="2" t="n">
        <v>318</v>
      </c>
      <c r="L22" s="2" t="n">
        <v>95</v>
      </c>
      <c r="M22" s="2" t="n">
        <v>127</v>
      </c>
      <c r="N22" s="2" t="n">
        <v>95</v>
      </c>
      <c r="O22" s="3" t="n">
        <v>36526.92013888889</v>
      </c>
      <c r="P22" s="3" t="n">
        <v>36526.96180555555</v>
      </c>
      <c r="Q22" s="3" t="n">
        <v>36527.00347222222</v>
      </c>
    </row>
    <row r="23">
      <c r="A23" s="2" t="inlineStr">
        <is>
          <t>21-06-2026</t>
        </is>
      </c>
      <c r="B23" s="2" t="inlineStr">
        <is>
          <t>ET</t>
        </is>
      </c>
      <c r="C23" s="2" t="inlineStr">
        <is>
          <t>ET 687</t>
        </is>
      </c>
      <c r="D23" s="3" t="n">
        <v>36527.10416666666</v>
      </c>
      <c r="E23" s="2" t="n">
        <v>2</v>
      </c>
      <c r="F23" s="2" t="inlineStr">
        <is>
          <t>DEL-ADD</t>
        </is>
      </c>
      <c r="G23" s="2" t="inlineStr">
        <is>
          <t>INTERNATIONAL</t>
        </is>
      </c>
      <c r="H23" s="2" t="inlineStr">
        <is>
          <t>Terminal 3</t>
        </is>
      </c>
      <c r="I23" s="2" t="inlineStr">
        <is>
          <t>BFS</t>
        </is>
      </c>
      <c r="J23" s="2" t="n">
        <v>315</v>
      </c>
      <c r="K23" s="2" t="n">
        <v>252</v>
      </c>
      <c r="L23" s="2" t="n">
        <v>76</v>
      </c>
      <c r="M23" s="2" t="n">
        <v>101</v>
      </c>
      <c r="N23" s="2" t="n">
        <v>76</v>
      </c>
      <c r="O23" s="3" t="n">
        <v>36526.9375</v>
      </c>
      <c r="P23" s="3" t="n">
        <v>36526.97916666666</v>
      </c>
      <c r="Q23" s="3" t="n">
        <v>36527.02083333334</v>
      </c>
    </row>
    <row r="24">
      <c r="A24" s="2" t="inlineStr">
        <is>
          <t>21-06-2026</t>
        </is>
      </c>
      <c r="B24" s="2" t="inlineStr">
        <is>
          <t>6E</t>
        </is>
      </c>
      <c r="C24" s="2" t="inlineStr">
        <is>
          <t>6E 033</t>
        </is>
      </c>
      <c r="D24" s="3" t="n">
        <v>36527.11111111111</v>
      </c>
      <c r="E24" s="2" t="n">
        <v>2</v>
      </c>
      <c r="F24" s="2" t="inlineStr">
        <is>
          <t>DEL-MAN</t>
        </is>
      </c>
      <c r="G24" s="2" t="inlineStr">
        <is>
          <t>INTERNATIONAL</t>
        </is>
      </c>
      <c r="H24" s="2" t="inlineStr">
        <is>
          <t>Terminal 3</t>
        </is>
      </c>
      <c r="I24" s="2" t="inlineStr">
        <is>
          <t>Ramp 360</t>
        </is>
      </c>
      <c r="J24" s="2" t="n">
        <v>318</v>
      </c>
      <c r="K24" s="2" t="n">
        <v>254</v>
      </c>
      <c r="L24" s="2" t="n">
        <v>76</v>
      </c>
      <c r="M24" s="2" t="n">
        <v>102</v>
      </c>
      <c r="N24" s="2" t="n">
        <v>76</v>
      </c>
      <c r="O24" s="3" t="n">
        <v>36526.94444444445</v>
      </c>
      <c r="P24" s="3" t="n">
        <v>36526.98611111111</v>
      </c>
      <c r="Q24" s="3" t="n">
        <v>36527.02777777778</v>
      </c>
    </row>
    <row r="25">
      <c r="A25" s="2" t="inlineStr">
        <is>
          <t>21-06-2026</t>
        </is>
      </c>
      <c r="B25" s="2" t="inlineStr">
        <is>
          <t>LH</t>
        </is>
      </c>
      <c r="C25" s="2" t="inlineStr">
        <is>
          <t>LH 761</t>
        </is>
      </c>
      <c r="D25" s="3" t="n">
        <v>36527.11805555555</v>
      </c>
      <c r="E25" s="2" t="n">
        <v>2</v>
      </c>
      <c r="F25" s="2" t="inlineStr">
        <is>
          <t>DEL-FRA</t>
        </is>
      </c>
      <c r="G25" s="2" t="inlineStr">
        <is>
          <t>INTERNATIONAL</t>
        </is>
      </c>
      <c r="H25" s="2" t="inlineStr">
        <is>
          <t>Terminal 3</t>
        </is>
      </c>
      <c r="I25" s="2" t="inlineStr">
        <is>
          <t>IndiGo</t>
        </is>
      </c>
      <c r="J25" s="2" t="n">
        <v>287</v>
      </c>
      <c r="K25" s="2" t="n">
        <v>230</v>
      </c>
      <c r="L25" s="2" t="n">
        <v>69</v>
      </c>
      <c r="M25" s="2" t="n">
        <v>92</v>
      </c>
      <c r="N25" s="2" t="n">
        <v>69</v>
      </c>
      <c r="O25" s="3" t="n">
        <v>36526.95138888889</v>
      </c>
      <c r="P25" s="3" t="n">
        <v>36526.99305555555</v>
      </c>
      <c r="Q25" s="3" t="n">
        <v>36527.03472222222</v>
      </c>
    </row>
    <row r="26">
      <c r="A26" s="2" t="inlineStr">
        <is>
          <t>21-06-2026</t>
        </is>
      </c>
      <c r="B26" s="2" t="inlineStr">
        <is>
          <t>AI</t>
        </is>
      </c>
      <c r="C26" s="2" t="inlineStr">
        <is>
          <t>AI 2147</t>
        </is>
      </c>
      <c r="D26" s="3" t="n">
        <v>36527.12152777778</v>
      </c>
      <c r="E26" s="2" t="n">
        <v>2</v>
      </c>
      <c r="F26" s="2" t="inlineStr">
        <is>
          <t>DEL-DPS</t>
        </is>
      </c>
      <c r="G26" s="2" t="inlineStr">
        <is>
          <t>INTERNATIONAL</t>
        </is>
      </c>
      <c r="H26" s="2" t="inlineStr">
        <is>
          <t>Terminal 3</t>
        </is>
      </c>
      <c r="I26" s="2" t="inlineStr">
        <is>
          <t>BFS</t>
        </is>
      </c>
      <c r="J26" s="2" t="n">
        <v>188</v>
      </c>
      <c r="K26" s="2" t="n">
        <v>150</v>
      </c>
      <c r="L26" s="2" t="n">
        <v>45</v>
      </c>
      <c r="M26" s="2" t="n">
        <v>60</v>
      </c>
      <c r="N26" s="2" t="n">
        <v>45</v>
      </c>
      <c r="O26" s="3" t="n">
        <v>36526.95486111111</v>
      </c>
      <c r="P26" s="3" t="n">
        <v>36526.99652777778</v>
      </c>
      <c r="Q26" s="3" t="n">
        <v>36527.03819444445</v>
      </c>
    </row>
    <row r="27">
      <c r="A27" s="2" t="inlineStr">
        <is>
          <t>21-06-2026</t>
        </is>
      </c>
      <c r="B27" s="2" t="inlineStr">
        <is>
          <t>AZ</t>
        </is>
      </c>
      <c r="C27" s="2" t="inlineStr">
        <is>
          <t>AZ 769</t>
        </is>
      </c>
      <c r="D27" s="3" t="n">
        <v>36527.125</v>
      </c>
      <c r="E27" s="2" t="n">
        <v>3</v>
      </c>
      <c r="F27" s="2" t="inlineStr">
        <is>
          <t>DEL-FCO</t>
        </is>
      </c>
      <c r="G27" s="2" t="inlineStr">
        <is>
          <t>INTERNATIONAL</t>
        </is>
      </c>
      <c r="H27" s="2" t="inlineStr">
        <is>
          <t>Terminal 3</t>
        </is>
      </c>
      <c r="I27" s="2" t="inlineStr">
        <is>
          <t>AISATS</t>
        </is>
      </c>
      <c r="J27" s="2" t="n">
        <v>188</v>
      </c>
      <c r="K27" s="2" t="n">
        <v>150</v>
      </c>
      <c r="L27" s="2" t="n">
        <v>45</v>
      </c>
      <c r="M27" s="2" t="n">
        <v>60</v>
      </c>
      <c r="N27" s="2" t="n">
        <v>45</v>
      </c>
      <c r="O27" s="3" t="n">
        <v>36526.95833333334</v>
      </c>
      <c r="P27" s="3" t="n">
        <v>36527</v>
      </c>
      <c r="Q27" s="3" t="n">
        <v>36527.04166666666</v>
      </c>
    </row>
    <row r="28">
      <c r="A28" s="2" t="inlineStr">
        <is>
          <t>21-06-2026</t>
        </is>
      </c>
      <c r="B28" s="2" t="inlineStr">
        <is>
          <t>KU</t>
        </is>
      </c>
      <c r="C28" s="2" t="inlineStr">
        <is>
          <t>KU 382</t>
        </is>
      </c>
      <c r="D28" s="3" t="n">
        <v>36527.125</v>
      </c>
      <c r="E28" s="2" t="n">
        <v>3</v>
      </c>
      <c r="F28" s="2" t="inlineStr">
        <is>
          <t>DEL-KWI</t>
        </is>
      </c>
      <c r="G28" s="2" t="inlineStr">
        <is>
          <t>INTERNATIONAL</t>
        </is>
      </c>
      <c r="H28" s="2" t="inlineStr">
        <is>
          <t>Terminal 3</t>
        </is>
      </c>
      <c r="I28" s="2" t="inlineStr">
        <is>
          <t>BFS</t>
        </is>
      </c>
      <c r="J28" s="2" t="n">
        <v>235</v>
      </c>
      <c r="K28" s="2" t="n">
        <v>188</v>
      </c>
      <c r="L28" s="2" t="n">
        <v>56</v>
      </c>
      <c r="M28" s="2" t="n">
        <v>75</v>
      </c>
      <c r="N28" s="2" t="n">
        <v>56</v>
      </c>
      <c r="O28" s="3" t="n">
        <v>36526.95833333334</v>
      </c>
      <c r="P28" s="3" t="n">
        <v>36527</v>
      </c>
      <c r="Q28" s="3" t="n">
        <v>36527.04166666666</v>
      </c>
    </row>
    <row r="29">
      <c r="A29" s="2" t="inlineStr">
        <is>
          <t>21-06-2026</t>
        </is>
      </c>
      <c r="B29" s="2" t="inlineStr">
        <is>
          <t>AI</t>
        </is>
      </c>
      <c r="C29" s="2" t="inlineStr">
        <is>
          <t>AI 2025</t>
        </is>
      </c>
      <c r="D29" s="3" t="n">
        <v>36527.12847222222</v>
      </c>
      <c r="E29" s="2" t="n">
        <v>3</v>
      </c>
      <c r="F29" s="2" t="inlineStr">
        <is>
          <t>DEL-FRA</t>
        </is>
      </c>
      <c r="G29" s="2" t="inlineStr">
        <is>
          <t>INTERNATIONAL</t>
        </is>
      </c>
      <c r="H29" s="2" t="inlineStr">
        <is>
          <t>Terminal 3</t>
        </is>
      </c>
      <c r="I29" s="2" t="inlineStr">
        <is>
          <t>AISATS</t>
        </is>
      </c>
      <c r="J29" s="2" t="n">
        <v>299</v>
      </c>
      <c r="K29" s="2" t="n">
        <v>239</v>
      </c>
      <c r="L29" s="2" t="n">
        <v>72</v>
      </c>
      <c r="M29" s="2" t="n">
        <v>96</v>
      </c>
      <c r="N29" s="2" t="n">
        <v>72</v>
      </c>
      <c r="O29" s="3" t="n">
        <v>36526.96180555555</v>
      </c>
      <c r="P29" s="3" t="n">
        <v>36527.00347222222</v>
      </c>
      <c r="Q29" s="3" t="n">
        <v>36527.04513888889</v>
      </c>
    </row>
    <row r="30">
      <c r="A30" s="2" t="inlineStr">
        <is>
          <t>21-06-2026</t>
        </is>
      </c>
      <c r="B30" s="2" t="inlineStr">
        <is>
          <t>TG</t>
        </is>
      </c>
      <c r="C30" s="2" t="inlineStr">
        <is>
          <t>TG 332</t>
        </is>
      </c>
      <c r="D30" s="3" t="n">
        <v>36527.13888888889</v>
      </c>
      <c r="E30" s="2" t="n">
        <v>3</v>
      </c>
      <c r="F30" s="2" t="inlineStr">
        <is>
          <t>DEL-BKK</t>
        </is>
      </c>
      <c r="G30" s="2" t="inlineStr">
        <is>
          <t>INTERNATIONAL</t>
        </is>
      </c>
      <c r="H30" s="2" t="inlineStr">
        <is>
          <t>Terminal 3</t>
        </is>
      </c>
      <c r="I30" s="2" t="inlineStr">
        <is>
          <t>BFS</t>
        </is>
      </c>
      <c r="J30" s="2" t="n">
        <v>321</v>
      </c>
      <c r="K30" s="2" t="n">
        <v>257</v>
      </c>
      <c r="L30" s="2" t="n">
        <v>77</v>
      </c>
      <c r="M30" s="2" t="n">
        <v>103</v>
      </c>
      <c r="N30" s="2" t="n">
        <v>77</v>
      </c>
      <c r="O30" s="3" t="n">
        <v>36526.97222222222</v>
      </c>
      <c r="P30" s="3" t="n">
        <v>36527.01388888889</v>
      </c>
      <c r="Q30" s="3" t="n">
        <v>36527.05555555555</v>
      </c>
    </row>
    <row r="31">
      <c r="A31" s="2" t="inlineStr">
        <is>
          <t>21-06-2026</t>
        </is>
      </c>
      <c r="B31" s="2" t="inlineStr">
        <is>
          <t>QR</t>
        </is>
      </c>
      <c r="C31" s="2" t="inlineStr">
        <is>
          <t>QR 579</t>
        </is>
      </c>
      <c r="D31" s="3" t="n">
        <v>36527.14236111111</v>
      </c>
      <c r="E31" s="2" t="n">
        <v>3</v>
      </c>
      <c r="F31" s="2" t="inlineStr">
        <is>
          <t>DEL-DOH</t>
        </is>
      </c>
      <c r="G31" s="2" t="inlineStr">
        <is>
          <t>INTERNATIONAL</t>
        </is>
      </c>
      <c r="H31" s="2" t="inlineStr">
        <is>
          <t>Terminal 3</t>
        </is>
      </c>
      <c r="I31" s="2" t="inlineStr">
        <is>
          <t>Ramp 360</t>
        </is>
      </c>
      <c r="J31" s="2" t="n">
        <v>283</v>
      </c>
      <c r="K31" s="2" t="n">
        <v>226</v>
      </c>
      <c r="L31" s="2" t="n">
        <v>68</v>
      </c>
      <c r="M31" s="2" t="n">
        <v>90</v>
      </c>
      <c r="N31" s="2" t="n">
        <v>68</v>
      </c>
      <c r="O31" s="3" t="n">
        <v>36526.97569444445</v>
      </c>
      <c r="P31" s="3" t="n">
        <v>36527.01736111111</v>
      </c>
      <c r="Q31" s="3" t="n">
        <v>36527.05902777778</v>
      </c>
    </row>
    <row r="32">
      <c r="A32" s="2" t="inlineStr">
        <is>
          <t>21-06-2026</t>
        </is>
      </c>
      <c r="B32" s="2" t="inlineStr">
        <is>
          <t>AI</t>
        </is>
      </c>
      <c r="C32" s="2" t="inlineStr">
        <is>
          <t>AI 2115</t>
        </is>
      </c>
      <c r="D32" s="3" t="n">
        <v>36527.14930555555</v>
      </c>
      <c r="E32" s="2" t="n">
        <v>3</v>
      </c>
      <c r="F32" s="2" t="inlineStr">
        <is>
          <t>DEL-SIN</t>
        </is>
      </c>
      <c r="G32" s="2" t="inlineStr">
        <is>
          <t>INTERNATIONAL</t>
        </is>
      </c>
      <c r="H32" s="2" t="inlineStr">
        <is>
          <t>Terminal 3</t>
        </is>
      </c>
      <c r="I32" s="2" t="inlineStr">
        <is>
          <t>AISATS</t>
        </is>
      </c>
      <c r="J32" s="2" t="n">
        <v>188</v>
      </c>
      <c r="K32" s="2" t="n">
        <v>150</v>
      </c>
      <c r="L32" s="2" t="n">
        <v>45</v>
      </c>
      <c r="M32" s="2" t="n">
        <v>60</v>
      </c>
      <c r="N32" s="2" t="n">
        <v>45</v>
      </c>
      <c r="O32" s="3" t="n">
        <v>36526.98263888889</v>
      </c>
      <c r="P32" s="3" t="n">
        <v>36527.02430555555</v>
      </c>
      <c r="Q32" s="3" t="n">
        <v>36527.06597222222</v>
      </c>
    </row>
    <row r="33">
      <c r="A33" s="2" t="inlineStr">
        <is>
          <t>21-06-2026</t>
        </is>
      </c>
      <c r="B33" s="2" t="inlineStr">
        <is>
          <t>AI</t>
        </is>
      </c>
      <c r="C33" s="2" t="inlineStr">
        <is>
          <t>AI 185</t>
        </is>
      </c>
      <c r="D33" s="3" t="n">
        <v>36527.16319444445</v>
      </c>
      <c r="E33" s="2" t="n">
        <v>3</v>
      </c>
      <c r="F33" s="2" t="inlineStr">
        <is>
          <t>DEL-YVR</t>
        </is>
      </c>
      <c r="G33" s="2" t="inlineStr">
        <is>
          <t>INTERNATIONAL</t>
        </is>
      </c>
      <c r="H33" s="2" t="inlineStr">
        <is>
          <t>Terminal 3</t>
        </is>
      </c>
      <c r="I33" s="2" t="inlineStr">
        <is>
          <t>AISATS</t>
        </is>
      </c>
      <c r="J33" s="2" t="n">
        <v>342</v>
      </c>
      <c r="K33" s="2" t="n">
        <v>274</v>
      </c>
      <c r="L33" s="2" t="n">
        <v>82</v>
      </c>
      <c r="M33" s="2" t="n">
        <v>110</v>
      </c>
      <c r="N33" s="2" t="n">
        <v>82</v>
      </c>
      <c r="O33" s="3" t="n">
        <v>36526.99652777778</v>
      </c>
      <c r="P33" s="3" t="n">
        <v>36527.03819444445</v>
      </c>
      <c r="Q33" s="3" t="n">
        <v>36527.07986111111</v>
      </c>
    </row>
    <row r="34">
      <c r="A34" s="2" t="inlineStr">
        <is>
          <t>21-06-2026</t>
        </is>
      </c>
      <c r="B34" s="2" t="inlineStr">
        <is>
          <t>KL</t>
        </is>
      </c>
      <c r="C34" s="2" t="inlineStr">
        <is>
          <t>KL 872</t>
        </is>
      </c>
      <c r="D34" s="3" t="n">
        <v>36527.16319444445</v>
      </c>
      <c r="E34" s="2" t="n">
        <v>3</v>
      </c>
      <c r="F34" s="2" t="inlineStr">
        <is>
          <t>DEL-AMS</t>
        </is>
      </c>
      <c r="G34" s="2" t="inlineStr">
        <is>
          <t>INTERNATIONAL</t>
        </is>
      </c>
      <c r="H34" s="2" t="inlineStr">
        <is>
          <t>Terminal 3</t>
        </is>
      </c>
      <c r="I34" s="2" t="inlineStr">
        <is>
          <t>BFS</t>
        </is>
      </c>
      <c r="J34" s="2" t="n">
        <v>318</v>
      </c>
      <c r="K34" s="2" t="n">
        <v>254</v>
      </c>
      <c r="L34" s="2" t="n">
        <v>76</v>
      </c>
      <c r="M34" s="2" t="n">
        <v>102</v>
      </c>
      <c r="N34" s="2" t="n">
        <v>76</v>
      </c>
      <c r="O34" s="3" t="n">
        <v>36526.99652777778</v>
      </c>
      <c r="P34" s="3" t="n">
        <v>36527.03819444445</v>
      </c>
      <c r="Q34" s="3" t="n">
        <v>36527.07986111111</v>
      </c>
    </row>
    <row r="35">
      <c r="A35" s="2" t="inlineStr">
        <is>
          <t>21-06-2026</t>
        </is>
      </c>
      <c r="B35" s="2" t="inlineStr">
        <is>
          <t>FZ</t>
        </is>
      </c>
      <c r="C35" s="2" t="inlineStr">
        <is>
          <t>FZ 442</t>
        </is>
      </c>
      <c r="D35" s="3" t="n">
        <v>36527.17361111111</v>
      </c>
      <c r="E35" s="2" t="n">
        <v>4</v>
      </c>
      <c r="F35" s="2" t="inlineStr">
        <is>
          <t>DEL-DXB</t>
        </is>
      </c>
      <c r="G35" s="2" t="inlineStr">
        <is>
          <t>INTERNATIONAL</t>
        </is>
      </c>
      <c r="H35" s="2" t="inlineStr">
        <is>
          <t>Terminal 3</t>
        </is>
      </c>
      <c r="I35" s="2" t="inlineStr">
        <is>
          <t>AISATS</t>
        </is>
      </c>
      <c r="J35" s="2" t="n">
        <v>174</v>
      </c>
      <c r="K35" s="2" t="n">
        <v>139</v>
      </c>
      <c r="L35" s="2" t="n">
        <v>42</v>
      </c>
      <c r="M35" s="2" t="n">
        <v>56</v>
      </c>
      <c r="N35" s="2" t="n">
        <v>42</v>
      </c>
      <c r="O35" s="3" t="n">
        <v>36527.00694444445</v>
      </c>
      <c r="P35" s="3" t="n">
        <v>36527.04861111111</v>
      </c>
      <c r="Q35" s="3" t="n">
        <v>36527.09027777778</v>
      </c>
    </row>
    <row r="36">
      <c r="A36" s="2" t="inlineStr">
        <is>
          <t>21-06-2026</t>
        </is>
      </c>
      <c r="B36" s="2" t="inlineStr">
        <is>
          <t>XY</t>
        </is>
      </c>
      <c r="C36" s="2" t="inlineStr">
        <is>
          <t>XY 330</t>
        </is>
      </c>
      <c r="D36" s="3" t="n">
        <v>36527.17708333334</v>
      </c>
      <c r="E36" s="2" t="n">
        <v>4</v>
      </c>
      <c r="F36" s="2" t="inlineStr">
        <is>
          <t>DEL-RUH</t>
        </is>
      </c>
      <c r="G36" s="2" t="inlineStr">
        <is>
          <t>INTERNATIONAL</t>
        </is>
      </c>
      <c r="H36" s="2" t="inlineStr">
        <is>
          <t>Terminal 3</t>
        </is>
      </c>
      <c r="I36" s="2" t="inlineStr">
        <is>
          <t>AISATS</t>
        </is>
      </c>
      <c r="J36" s="2" t="n">
        <v>174</v>
      </c>
      <c r="K36" s="2" t="n">
        <v>139</v>
      </c>
      <c r="L36" s="2" t="n">
        <v>42</v>
      </c>
      <c r="M36" s="2" t="n">
        <v>56</v>
      </c>
      <c r="N36" s="2" t="n">
        <v>42</v>
      </c>
      <c r="O36" s="3" t="n">
        <v>36527.01041666666</v>
      </c>
      <c r="P36" s="3" t="n">
        <v>36527.05208333334</v>
      </c>
      <c r="Q36" s="3" t="n">
        <v>36527.09375</v>
      </c>
    </row>
    <row r="37">
      <c r="A37" s="2" t="inlineStr">
        <is>
          <t>21-06-2026</t>
        </is>
      </c>
      <c r="B37" s="2" t="inlineStr">
        <is>
          <t>6E</t>
        </is>
      </c>
      <c r="C37" s="2" t="inlineStr">
        <is>
          <t>6E 1635</t>
        </is>
      </c>
      <c r="D37" s="3" t="n">
        <v>36527.18055555555</v>
      </c>
      <c r="E37" s="2" t="n">
        <v>4</v>
      </c>
      <c r="F37" s="2" t="inlineStr">
        <is>
          <t>DEL-SGN</t>
        </is>
      </c>
      <c r="G37" s="2" t="inlineStr">
        <is>
          <t>INTERNATIONAL</t>
        </is>
      </c>
      <c r="H37" s="2" t="inlineStr">
        <is>
          <t>Terminal 3</t>
        </is>
      </c>
      <c r="I37" s="2" t="inlineStr">
        <is>
          <t>IndiGo</t>
        </is>
      </c>
      <c r="J37" s="2" t="n">
        <v>186</v>
      </c>
      <c r="K37" s="2" t="n">
        <v>149</v>
      </c>
      <c r="L37" s="2" t="n">
        <v>45</v>
      </c>
      <c r="M37" s="2" t="n">
        <v>60</v>
      </c>
      <c r="N37" s="2" t="n">
        <v>45</v>
      </c>
      <c r="O37" s="3" t="n">
        <v>36527.01388888889</v>
      </c>
      <c r="P37" s="3" t="n">
        <v>36527.05555555555</v>
      </c>
      <c r="Q37" s="3" t="n">
        <v>36527.09722222222</v>
      </c>
    </row>
    <row r="38">
      <c r="A38" s="2" t="inlineStr">
        <is>
          <t>21-06-2026</t>
        </is>
      </c>
      <c r="B38" s="2" t="inlineStr">
        <is>
          <t>EK</t>
        </is>
      </c>
      <c r="C38" s="2" t="inlineStr">
        <is>
          <t>EK 513</t>
        </is>
      </c>
      <c r="D38" s="3" t="n">
        <v>36527.18402777778</v>
      </c>
      <c r="E38" s="2" t="n">
        <v>4</v>
      </c>
      <c r="F38" s="2" t="inlineStr">
        <is>
          <t>DEL-DXB</t>
        </is>
      </c>
      <c r="G38" s="2" t="inlineStr">
        <is>
          <t>INTERNATIONAL</t>
        </is>
      </c>
      <c r="H38" s="2" t="inlineStr">
        <is>
          <t>Terminal 3</t>
        </is>
      </c>
      <c r="I38" s="2" t="inlineStr">
        <is>
          <t>AISATS</t>
        </is>
      </c>
      <c r="J38" s="2" t="n">
        <v>360</v>
      </c>
      <c r="K38" s="2" t="n">
        <v>288</v>
      </c>
      <c r="L38" s="2" t="n">
        <v>86</v>
      </c>
      <c r="M38" s="2" t="n">
        <v>115</v>
      </c>
      <c r="N38" s="2" t="n">
        <v>86</v>
      </c>
      <c r="O38" s="3" t="n">
        <v>36527.01736111111</v>
      </c>
      <c r="P38" s="3" t="n">
        <v>36527.05902777778</v>
      </c>
      <c r="Q38" s="3" t="n">
        <v>36527.10069444445</v>
      </c>
    </row>
    <row r="39">
      <c r="A39" s="2" t="inlineStr">
        <is>
          <t>21-06-2026</t>
        </is>
      </c>
      <c r="B39" s="2" t="inlineStr">
        <is>
          <t>AI</t>
        </is>
      </c>
      <c r="C39" s="2" t="inlineStr">
        <is>
          <t>AI 215</t>
        </is>
      </c>
      <c r="D39" s="3" t="n">
        <v>36527.1875</v>
      </c>
      <c r="E39" s="2" t="n">
        <v>4</v>
      </c>
      <c r="F39" s="2" t="inlineStr">
        <is>
          <t>DEL-KTM</t>
        </is>
      </c>
      <c r="G39" s="2" t="inlineStr">
        <is>
          <t>INTERNATIONAL</t>
        </is>
      </c>
      <c r="H39" s="2" t="inlineStr">
        <is>
          <t>Terminal 3</t>
        </is>
      </c>
      <c r="I39" s="2" t="inlineStr">
        <is>
          <t>AISATS</t>
        </is>
      </c>
      <c r="J39" s="2" t="n">
        <v>150</v>
      </c>
      <c r="K39" s="2" t="n">
        <v>120</v>
      </c>
      <c r="L39" s="2" t="n">
        <v>36</v>
      </c>
      <c r="M39" s="2" t="n">
        <v>48</v>
      </c>
      <c r="N39" s="2" t="n">
        <v>36</v>
      </c>
      <c r="O39" s="3" t="n">
        <v>36527.02083333334</v>
      </c>
      <c r="P39" s="3" t="n">
        <v>36527.0625</v>
      </c>
      <c r="Q39" s="3" t="n">
        <v>36527.10416666666</v>
      </c>
    </row>
    <row r="40">
      <c r="A40" s="2" t="inlineStr">
        <is>
          <t>21-06-2026</t>
        </is>
      </c>
      <c r="B40" s="2" t="inlineStr">
        <is>
          <t>AI</t>
        </is>
      </c>
      <c r="C40" s="2" t="inlineStr">
        <is>
          <t>AI 111</t>
        </is>
      </c>
      <c r="D40" s="3" t="n">
        <v>36527.19097222222</v>
      </c>
      <c r="E40" s="2" t="n">
        <v>4</v>
      </c>
      <c r="F40" s="2" t="inlineStr">
        <is>
          <t>DEL-LHR</t>
        </is>
      </c>
      <c r="G40" s="2" t="inlineStr">
        <is>
          <t>INTERNATIONAL</t>
        </is>
      </c>
      <c r="H40" s="2" t="inlineStr">
        <is>
          <t>Terminal 3</t>
        </is>
      </c>
      <c r="I40" s="2" t="inlineStr">
        <is>
          <t>AISATS</t>
        </is>
      </c>
      <c r="J40" s="2" t="n">
        <v>299</v>
      </c>
      <c r="K40" s="2" t="n">
        <v>239</v>
      </c>
      <c r="L40" s="2" t="n">
        <v>72</v>
      </c>
      <c r="M40" s="2" t="n">
        <v>96</v>
      </c>
      <c r="N40" s="2" t="n">
        <v>72</v>
      </c>
      <c r="O40" s="3" t="n">
        <v>36527.02430555555</v>
      </c>
      <c r="P40" s="3" t="n">
        <v>36527.06597222222</v>
      </c>
      <c r="Q40" s="3" t="n">
        <v>36527.10763888889</v>
      </c>
    </row>
    <row r="41">
      <c r="A41" s="2" t="inlineStr">
        <is>
          <t>21-06-2026</t>
        </is>
      </c>
      <c r="B41" s="2" t="inlineStr">
        <is>
          <t>JL</t>
        </is>
      </c>
      <c r="C41" s="2" t="inlineStr">
        <is>
          <t>JL 740</t>
        </is>
      </c>
      <c r="D41" s="3" t="n">
        <v>36527.19097222222</v>
      </c>
      <c r="E41" s="2" t="n">
        <v>4</v>
      </c>
      <c r="F41" s="2" t="inlineStr">
        <is>
          <t>DEL-NRT</t>
        </is>
      </c>
      <c r="G41" s="2" t="inlineStr">
        <is>
          <t>INTERNATIONAL</t>
        </is>
      </c>
      <c r="H41" s="2" t="inlineStr">
        <is>
          <t>Terminal 3</t>
        </is>
      </c>
      <c r="I41" s="2" t="inlineStr">
        <is>
          <t>BFS</t>
        </is>
      </c>
      <c r="J41" s="2" t="n">
        <v>206</v>
      </c>
      <c r="K41" s="2" t="n">
        <v>165</v>
      </c>
      <c r="L41" s="2" t="n">
        <v>50</v>
      </c>
      <c r="M41" s="2" t="n">
        <v>66</v>
      </c>
      <c r="N41" s="2" t="n">
        <v>50</v>
      </c>
      <c r="O41" s="3" t="n">
        <v>36527.02430555555</v>
      </c>
      <c r="P41" s="3" t="n">
        <v>36527.06597222222</v>
      </c>
      <c r="Q41" s="3" t="n">
        <v>36527.10763888889</v>
      </c>
    </row>
    <row r="42">
      <c r="A42" s="2" t="inlineStr">
        <is>
          <t>21-06-2026</t>
        </is>
      </c>
      <c r="B42" s="2" t="inlineStr">
        <is>
          <t>G9</t>
        </is>
      </c>
      <c r="C42" s="2" t="inlineStr">
        <is>
          <t>G9 464</t>
        </is>
      </c>
      <c r="D42" s="3" t="n">
        <v>36527.19444444445</v>
      </c>
      <c r="E42" s="2" t="n">
        <v>4</v>
      </c>
      <c r="F42" s="2" t="inlineStr">
        <is>
          <t>DEL-SHJ</t>
        </is>
      </c>
      <c r="G42" s="2" t="inlineStr">
        <is>
          <t>INTERNATIONAL</t>
        </is>
      </c>
      <c r="H42" s="2" t="inlineStr">
        <is>
          <t>Terminal 3</t>
        </is>
      </c>
      <c r="I42" s="2" t="inlineStr">
        <is>
          <t>BFS</t>
        </is>
      </c>
      <c r="J42" s="2" t="n">
        <v>168</v>
      </c>
      <c r="K42" s="2" t="n">
        <v>134</v>
      </c>
      <c r="L42" s="2" t="n">
        <v>40</v>
      </c>
      <c r="M42" s="2" t="n">
        <v>54</v>
      </c>
      <c r="N42" s="2" t="n">
        <v>40</v>
      </c>
      <c r="O42" s="3" t="n">
        <v>36527.02777777778</v>
      </c>
      <c r="P42" s="3" t="n">
        <v>36527.06944444445</v>
      </c>
      <c r="Q42" s="3" t="n">
        <v>36527.11111111111</v>
      </c>
    </row>
    <row r="43">
      <c r="A43" s="2" t="inlineStr">
        <is>
          <t>21-06-2026</t>
        </is>
      </c>
      <c r="B43" s="2" t="inlineStr">
        <is>
          <t>EY</t>
        </is>
      </c>
      <c r="C43" s="2" t="inlineStr">
        <is>
          <t>EY 219</t>
        </is>
      </c>
      <c r="D43" s="3" t="n">
        <v>36527.20138888889</v>
      </c>
      <c r="E43" s="2" t="n">
        <v>4</v>
      </c>
      <c r="F43" s="2" t="inlineStr">
        <is>
          <t>DEL-AUH</t>
        </is>
      </c>
      <c r="G43" s="2" t="inlineStr">
        <is>
          <t>INTERNATIONAL</t>
        </is>
      </c>
      <c r="H43" s="2" t="inlineStr">
        <is>
          <t>Terminal 3</t>
        </is>
      </c>
      <c r="I43" s="2" t="inlineStr">
        <is>
          <t>AISATS</t>
        </is>
      </c>
      <c r="J43" s="2" t="n">
        <v>370</v>
      </c>
      <c r="K43" s="2" t="n">
        <v>296</v>
      </c>
      <c r="L43" s="2" t="n">
        <v>89</v>
      </c>
      <c r="M43" s="2" t="n">
        <v>118</v>
      </c>
      <c r="N43" s="2" t="n">
        <v>89</v>
      </c>
      <c r="O43" s="3" t="n">
        <v>36527.03472222222</v>
      </c>
      <c r="P43" s="3" t="n">
        <v>36527.07638888889</v>
      </c>
      <c r="Q43" s="3" t="n">
        <v>36527.11805555555</v>
      </c>
    </row>
    <row r="44">
      <c r="A44" s="2" t="inlineStr">
        <is>
          <t>21-06-2026</t>
        </is>
      </c>
      <c r="B44" s="2" t="inlineStr">
        <is>
          <t>GF</t>
        </is>
      </c>
      <c r="C44" s="2" t="inlineStr">
        <is>
          <t>GF 131</t>
        </is>
      </c>
      <c r="D44" s="3" t="n">
        <v>36527.20486111111</v>
      </c>
      <c r="E44" s="2" t="n">
        <v>4</v>
      </c>
      <c r="F44" s="2" t="inlineStr">
        <is>
          <t>DEL-BAH</t>
        </is>
      </c>
      <c r="G44" s="2" t="inlineStr">
        <is>
          <t>INTERNATIONAL</t>
        </is>
      </c>
      <c r="H44" s="2" t="inlineStr">
        <is>
          <t>Terminal 3</t>
        </is>
      </c>
      <c r="I44" s="2" t="inlineStr">
        <is>
          <t>AISATS</t>
        </is>
      </c>
      <c r="J44" s="2" t="n">
        <v>166</v>
      </c>
      <c r="K44" s="2" t="n">
        <v>133</v>
      </c>
      <c r="L44" s="2" t="n">
        <v>40</v>
      </c>
      <c r="M44" s="2" t="n">
        <v>53</v>
      </c>
      <c r="N44" s="2" t="n">
        <v>40</v>
      </c>
      <c r="O44" s="3" t="n">
        <v>36527.03819444445</v>
      </c>
      <c r="P44" s="3" t="n">
        <v>36527.07986111111</v>
      </c>
      <c r="Q44" s="3" t="n">
        <v>36527.12152777778</v>
      </c>
    </row>
    <row r="45">
      <c r="A45" s="2" t="inlineStr">
        <is>
          <t>21-06-2026</t>
        </is>
      </c>
      <c r="B45" s="2" t="inlineStr">
        <is>
          <t>6E</t>
        </is>
      </c>
      <c r="C45" s="2" t="inlineStr">
        <is>
          <t>6E 1633</t>
        </is>
      </c>
      <c r="D45" s="3" t="n">
        <v>36527.20833333334</v>
      </c>
      <c r="E45" s="2" t="n">
        <v>5</v>
      </c>
      <c r="F45" s="2" t="inlineStr">
        <is>
          <t>DEL-HAN</t>
        </is>
      </c>
      <c r="G45" s="2" t="inlineStr">
        <is>
          <t>INTERNATIONAL</t>
        </is>
      </c>
      <c r="H45" s="2" t="inlineStr">
        <is>
          <t>Terminal 3</t>
        </is>
      </c>
      <c r="I45" s="2" t="inlineStr">
        <is>
          <t>IndiGo</t>
        </is>
      </c>
      <c r="J45" s="2" t="n">
        <v>232</v>
      </c>
      <c r="K45" s="2" t="n">
        <v>186</v>
      </c>
      <c r="L45" s="2" t="n">
        <v>56</v>
      </c>
      <c r="M45" s="2" t="n">
        <v>74</v>
      </c>
      <c r="N45" s="2" t="n">
        <v>56</v>
      </c>
      <c r="O45" s="3" t="n">
        <v>36527.04166666666</v>
      </c>
      <c r="P45" s="3" t="n">
        <v>36527.08333333334</v>
      </c>
      <c r="Q45" s="3" t="n">
        <v>36527.125</v>
      </c>
    </row>
    <row r="46">
      <c r="A46" s="2" t="inlineStr">
        <is>
          <t>21-06-2026</t>
        </is>
      </c>
      <c r="B46" s="2" t="inlineStr">
        <is>
          <t>AI</t>
        </is>
      </c>
      <c r="C46" s="2" t="inlineStr">
        <is>
          <t>AI 4305</t>
        </is>
      </c>
      <c r="D46" s="3" t="n">
        <v>36527.21180555555</v>
      </c>
      <c r="E46" s="2" t="n">
        <v>5</v>
      </c>
      <c r="F46" s="2" t="inlineStr">
        <is>
          <t>DEL-DXB</t>
        </is>
      </c>
      <c r="G46" s="2" t="inlineStr">
        <is>
          <t>INTERNATIONAL</t>
        </is>
      </c>
      <c r="H46" s="2" t="inlineStr">
        <is>
          <t>Terminal 3</t>
        </is>
      </c>
      <c r="I46" s="2" t="inlineStr">
        <is>
          <t>AISATS</t>
        </is>
      </c>
      <c r="J46" s="2" t="n">
        <v>164</v>
      </c>
      <c r="K46" s="2" t="n">
        <v>131</v>
      </c>
      <c r="L46" s="2" t="n">
        <v>39</v>
      </c>
      <c r="M46" s="2" t="n">
        <v>52</v>
      </c>
      <c r="N46" s="2" t="n">
        <v>39</v>
      </c>
      <c r="O46" s="3" t="n">
        <v>36527.04513888889</v>
      </c>
      <c r="P46" s="3" t="n">
        <v>36527.08680555555</v>
      </c>
      <c r="Q46" s="3" t="n">
        <v>36527.12847222222</v>
      </c>
    </row>
    <row r="47">
      <c r="A47" s="2" t="inlineStr">
        <is>
          <t>21-06-2026</t>
        </is>
      </c>
      <c r="B47" s="2" t="inlineStr">
        <is>
          <t>J2</t>
        </is>
      </c>
      <c r="C47" s="2" t="inlineStr">
        <is>
          <t>J2 058</t>
        </is>
      </c>
      <c r="D47" s="3" t="n">
        <v>36527.21527777778</v>
      </c>
      <c r="E47" s="2" t="n">
        <v>5</v>
      </c>
      <c r="F47" s="2" t="inlineStr">
        <is>
          <t>DEL-GYD</t>
        </is>
      </c>
      <c r="G47" s="2" t="inlineStr">
        <is>
          <t>INTERNATIONAL</t>
        </is>
      </c>
      <c r="H47" s="2" t="inlineStr">
        <is>
          <t>Terminal 3</t>
        </is>
      </c>
      <c r="I47" s="2" t="inlineStr">
        <is>
          <t>Ramp 360</t>
        </is>
      </c>
      <c r="J47" s="2" t="n">
        <v>186</v>
      </c>
      <c r="K47" s="2" t="n">
        <v>149</v>
      </c>
      <c r="L47" s="2" t="n">
        <v>45</v>
      </c>
      <c r="M47" s="2" t="n">
        <v>60</v>
      </c>
      <c r="N47" s="2" t="n">
        <v>45</v>
      </c>
      <c r="O47" s="3" t="n">
        <v>36527.04861111111</v>
      </c>
      <c r="P47" s="3" t="n">
        <v>36527.09027777778</v>
      </c>
      <c r="Q47" s="3" t="n">
        <v>36527.13194444445</v>
      </c>
    </row>
    <row r="48">
      <c r="A48" s="2" t="inlineStr">
        <is>
          <t>21-06-2026</t>
        </is>
      </c>
      <c r="B48" s="2" t="inlineStr">
        <is>
          <t>6E</t>
        </is>
      </c>
      <c r="C48" s="2" t="inlineStr">
        <is>
          <t>6E 1073</t>
        </is>
      </c>
      <c r="D48" s="3" t="n">
        <v>36527.21527777778</v>
      </c>
      <c r="E48" s="2" t="n">
        <v>5</v>
      </c>
      <c r="F48" s="2" t="inlineStr">
        <is>
          <t>DEL-HKT</t>
        </is>
      </c>
      <c r="G48" s="2" t="inlineStr">
        <is>
          <t>INTERNATIONAL</t>
        </is>
      </c>
      <c r="H48" s="2" t="inlineStr">
        <is>
          <t>Terminal 3</t>
        </is>
      </c>
      <c r="I48" s="2" t="inlineStr">
        <is>
          <t>IndiGo</t>
        </is>
      </c>
      <c r="J48" s="2" t="n">
        <v>232</v>
      </c>
      <c r="K48" s="2" t="n">
        <v>186</v>
      </c>
      <c r="L48" s="2" t="n">
        <v>56</v>
      </c>
      <c r="M48" s="2" t="n">
        <v>74</v>
      </c>
      <c r="N48" s="2" t="n">
        <v>56</v>
      </c>
      <c r="O48" s="3" t="n">
        <v>36527.04861111111</v>
      </c>
      <c r="P48" s="3" t="n">
        <v>36527.09027777778</v>
      </c>
      <c r="Q48" s="3" t="n">
        <v>36527.13194444445</v>
      </c>
    </row>
    <row r="49">
      <c r="A49" s="2" t="inlineStr">
        <is>
          <t>21-06-2026</t>
        </is>
      </c>
      <c r="B49" s="2" t="inlineStr">
        <is>
          <t>UL</t>
        </is>
      </c>
      <c r="C49" s="2" t="inlineStr">
        <is>
          <t>UL 192</t>
        </is>
      </c>
      <c r="D49" s="3" t="n">
        <v>36527.21875</v>
      </c>
      <c r="E49" s="2" t="n">
        <v>5</v>
      </c>
      <c r="F49" s="2" t="inlineStr">
        <is>
          <t>DEL-CMB</t>
        </is>
      </c>
      <c r="G49" s="2" t="inlineStr">
        <is>
          <t>INTERNATIONAL</t>
        </is>
      </c>
      <c r="H49" s="2" t="inlineStr">
        <is>
          <t>Terminal 3</t>
        </is>
      </c>
      <c r="I49" s="2" t="inlineStr">
        <is>
          <t>BFS</t>
        </is>
      </c>
      <c r="J49" s="2" t="n">
        <v>200</v>
      </c>
      <c r="K49" s="2" t="n">
        <v>160</v>
      </c>
      <c r="L49" s="2" t="n">
        <v>48</v>
      </c>
      <c r="M49" s="2" t="n">
        <v>64</v>
      </c>
      <c r="N49" s="2" t="n">
        <v>48</v>
      </c>
      <c r="O49" s="3" t="n">
        <v>36527.05208333334</v>
      </c>
      <c r="P49" s="3" t="n">
        <v>36527.09375</v>
      </c>
      <c r="Q49" s="3" t="n">
        <v>36527.13541666666</v>
      </c>
    </row>
    <row r="50">
      <c r="A50" s="2" t="inlineStr">
        <is>
          <t>21-06-2026</t>
        </is>
      </c>
      <c r="B50" s="2" t="inlineStr">
        <is>
          <t>KU</t>
        </is>
      </c>
      <c r="C50" s="2" t="inlineStr">
        <is>
          <t>KU 384</t>
        </is>
      </c>
      <c r="D50" s="3" t="n">
        <v>36527.25347222222</v>
      </c>
      <c r="E50" s="2" t="n">
        <v>6</v>
      </c>
      <c r="F50" s="2" t="inlineStr">
        <is>
          <t>DEL-KWI</t>
        </is>
      </c>
      <c r="G50" s="2" t="inlineStr">
        <is>
          <t>INTERNATIONAL</t>
        </is>
      </c>
      <c r="H50" s="2" t="inlineStr">
        <is>
          <t>Terminal 3</t>
        </is>
      </c>
      <c r="I50" s="2" t="inlineStr">
        <is>
          <t>BFS</t>
        </is>
      </c>
      <c r="J50" s="2" t="n">
        <v>235</v>
      </c>
      <c r="K50" s="2" t="n">
        <v>188</v>
      </c>
      <c r="L50" s="2" t="n">
        <v>56</v>
      </c>
      <c r="M50" s="2" t="n">
        <v>75</v>
      </c>
      <c r="N50" s="2" t="n">
        <v>56</v>
      </c>
      <c r="O50" s="3" t="n">
        <v>36527.08680555555</v>
      </c>
      <c r="P50" s="3" t="n">
        <v>36527.12847222222</v>
      </c>
      <c r="Q50" s="3" t="n">
        <v>36527.17013888889</v>
      </c>
    </row>
    <row r="51">
      <c r="A51" s="2" t="inlineStr">
        <is>
          <t>21-06-2026</t>
        </is>
      </c>
      <c r="B51" s="2" t="inlineStr">
        <is>
          <t>6E</t>
        </is>
      </c>
      <c r="C51" s="2" t="inlineStr">
        <is>
          <t>6E 1721</t>
        </is>
      </c>
      <c r="D51" s="3" t="n">
        <v>36527.26041666666</v>
      </c>
      <c r="E51" s="2" t="n">
        <v>6</v>
      </c>
      <c r="F51" s="2" t="inlineStr">
        <is>
          <t>DEL-HKG</t>
        </is>
      </c>
      <c r="G51" s="2" t="inlineStr">
        <is>
          <t>INTERNATIONAL</t>
        </is>
      </c>
      <c r="H51" s="2" t="inlineStr">
        <is>
          <t>Terminal 3</t>
        </is>
      </c>
      <c r="I51" s="2" t="inlineStr">
        <is>
          <t>IndiGo</t>
        </is>
      </c>
      <c r="J51" s="2" t="n">
        <v>186</v>
      </c>
      <c r="K51" s="2" t="n">
        <v>149</v>
      </c>
      <c r="L51" s="2" t="n">
        <v>45</v>
      </c>
      <c r="M51" s="2" t="n">
        <v>60</v>
      </c>
      <c r="N51" s="2" t="n">
        <v>45</v>
      </c>
      <c r="O51" s="3" t="n">
        <v>36527.09375</v>
      </c>
      <c r="P51" s="3" t="n">
        <v>36527.13541666666</v>
      </c>
      <c r="Q51" s="3" t="n">
        <v>36527.17708333334</v>
      </c>
    </row>
    <row r="52">
      <c r="A52" s="2" t="inlineStr">
        <is>
          <t>21-06-2026</t>
        </is>
      </c>
      <c r="B52" s="2" t="inlineStr">
        <is>
          <t>TK</t>
        </is>
      </c>
      <c r="C52" s="2" t="inlineStr">
        <is>
          <t>TK 717</t>
        </is>
      </c>
      <c r="D52" s="3" t="n">
        <v>36527.27083333334</v>
      </c>
      <c r="E52" s="2" t="n">
        <v>6</v>
      </c>
      <c r="F52" s="2" t="inlineStr">
        <is>
          <t>DEL-IST</t>
        </is>
      </c>
      <c r="G52" s="2" t="inlineStr">
        <is>
          <t>INTERNATIONAL</t>
        </is>
      </c>
      <c r="H52" s="2" t="inlineStr">
        <is>
          <t>Terminal 3</t>
        </is>
      </c>
      <c r="I52" s="2" t="inlineStr">
        <is>
          <t>Ramp 360</t>
        </is>
      </c>
      <c r="J52" s="2" t="n">
        <v>400</v>
      </c>
      <c r="K52" s="2" t="n">
        <v>320</v>
      </c>
      <c r="L52" s="2" t="n">
        <v>96</v>
      </c>
      <c r="M52" s="2" t="n">
        <v>128</v>
      </c>
      <c r="N52" s="2" t="n">
        <v>96</v>
      </c>
      <c r="O52" s="3" t="n">
        <v>36527.10416666666</v>
      </c>
      <c r="P52" s="3" t="n">
        <v>36527.14583333334</v>
      </c>
      <c r="Q52" s="3" t="n">
        <v>36527.1875</v>
      </c>
    </row>
    <row r="53">
      <c r="A53" s="2" t="inlineStr">
        <is>
          <t>21-06-2026</t>
        </is>
      </c>
      <c r="B53" s="2" t="inlineStr">
        <is>
          <t>6E</t>
        </is>
      </c>
      <c r="C53" s="2" t="inlineStr">
        <is>
          <t>6E 1611</t>
        </is>
      </c>
      <c r="D53" s="3" t="n">
        <v>36527.27777777778</v>
      </c>
      <c r="E53" s="2" t="n">
        <v>6</v>
      </c>
      <c r="F53" s="2" t="inlineStr">
        <is>
          <t>DEL-BBI-DPS</t>
        </is>
      </c>
      <c r="G53" s="2" t="inlineStr">
        <is>
          <t>INTERNATIONAL</t>
        </is>
      </c>
      <c r="H53" s="2" t="inlineStr">
        <is>
          <t>Terminal 3</t>
        </is>
      </c>
      <c r="I53" s="2" t="inlineStr">
        <is>
          <t>IndiGo</t>
        </is>
      </c>
      <c r="J53" s="2" t="n">
        <v>186</v>
      </c>
      <c r="K53" s="2" t="n">
        <v>149</v>
      </c>
      <c r="L53" s="2" t="n">
        <v>45</v>
      </c>
      <c r="M53" s="2" t="n">
        <v>60</v>
      </c>
      <c r="N53" s="2" t="n">
        <v>45</v>
      </c>
      <c r="O53" s="3" t="n">
        <v>36527.11111111111</v>
      </c>
      <c r="P53" s="3" t="n">
        <v>36527.15277777778</v>
      </c>
      <c r="Q53" s="3" t="n">
        <v>36527.19444444445</v>
      </c>
    </row>
    <row r="54">
      <c r="A54" s="2" t="inlineStr">
        <is>
          <t>21-06-2026</t>
        </is>
      </c>
      <c r="B54" s="2" t="inlineStr">
        <is>
          <t>6E</t>
        </is>
      </c>
      <c r="C54" s="2" t="inlineStr">
        <is>
          <t>6E 1063</t>
        </is>
      </c>
      <c r="D54" s="3" t="n">
        <v>36527.28472222222</v>
      </c>
      <c r="E54" s="2" t="n">
        <v>6</v>
      </c>
      <c r="F54" s="2" t="inlineStr">
        <is>
          <t>DEL-BKK</t>
        </is>
      </c>
      <c r="G54" s="2" t="inlineStr">
        <is>
          <t>INTERNATIONAL</t>
        </is>
      </c>
      <c r="H54" s="2" t="inlineStr">
        <is>
          <t>Terminal 3</t>
        </is>
      </c>
      <c r="I54" s="2" t="inlineStr">
        <is>
          <t>IndiGo</t>
        </is>
      </c>
      <c r="J54" s="2" t="n">
        <v>220</v>
      </c>
      <c r="K54" s="2" t="n">
        <v>176</v>
      </c>
      <c r="L54" s="2" t="n">
        <v>53</v>
      </c>
      <c r="M54" s="2" t="n">
        <v>70</v>
      </c>
      <c r="N54" s="2" t="n">
        <v>53</v>
      </c>
      <c r="O54" s="3" t="n">
        <v>36527.11805555555</v>
      </c>
      <c r="P54" s="3" t="n">
        <v>36527.15972222222</v>
      </c>
      <c r="Q54" s="3" t="n">
        <v>36527.20138888889</v>
      </c>
    </row>
    <row r="55">
      <c r="A55" s="2" t="inlineStr">
        <is>
          <t>21-06-2026</t>
        </is>
      </c>
      <c r="B55" s="2" t="inlineStr">
        <is>
          <t>6E</t>
        </is>
      </c>
      <c r="C55" s="2" t="inlineStr">
        <is>
          <t>6E 1069</t>
        </is>
      </c>
      <c r="D55" s="3" t="n">
        <v>36527.28472222222</v>
      </c>
      <c r="E55" s="2" t="n">
        <v>6</v>
      </c>
      <c r="F55" s="2" t="inlineStr">
        <is>
          <t>DEL-KBV</t>
        </is>
      </c>
      <c r="G55" s="2" t="inlineStr">
        <is>
          <t>INTERNATIONAL</t>
        </is>
      </c>
      <c r="H55" s="2" t="inlineStr">
        <is>
          <t>Terminal 3</t>
        </is>
      </c>
      <c r="I55" s="2" t="inlineStr">
        <is>
          <t>IndiGo</t>
        </is>
      </c>
      <c r="J55" s="2" t="n">
        <v>186</v>
      </c>
      <c r="K55" s="2" t="n">
        <v>149</v>
      </c>
      <c r="L55" s="2" t="n">
        <v>45</v>
      </c>
      <c r="M55" s="2" t="n">
        <v>60</v>
      </c>
      <c r="N55" s="2" t="n">
        <v>45</v>
      </c>
      <c r="O55" s="3" t="n">
        <v>36527.11805555555</v>
      </c>
      <c r="P55" s="3" t="n">
        <v>36527.15972222222</v>
      </c>
      <c r="Q55" s="3" t="n">
        <v>36527.20138888889</v>
      </c>
    </row>
    <row r="56">
      <c r="A56" s="2" t="inlineStr">
        <is>
          <t>21-06-2026</t>
        </is>
      </c>
      <c r="B56" s="2" t="inlineStr">
        <is>
          <t>AI</t>
        </is>
      </c>
      <c r="C56" s="2" t="inlineStr">
        <is>
          <t>AI 213</t>
        </is>
      </c>
      <c r="D56" s="3" t="n">
        <v>36527.29166666666</v>
      </c>
      <c r="E56" s="2" t="n">
        <v>7</v>
      </c>
      <c r="F56" s="2" t="inlineStr">
        <is>
          <t>DEL-KTM</t>
        </is>
      </c>
      <c r="G56" s="2" t="inlineStr">
        <is>
          <t>INTERNATIONAL</t>
        </is>
      </c>
      <c r="H56" s="2" t="inlineStr">
        <is>
          <t>Terminal 3</t>
        </is>
      </c>
      <c r="I56" s="2" t="inlineStr">
        <is>
          <t>AISATS</t>
        </is>
      </c>
      <c r="J56" s="2" t="n">
        <v>186</v>
      </c>
      <c r="K56" s="2" t="n">
        <v>149</v>
      </c>
      <c r="L56" s="2" t="n">
        <v>45</v>
      </c>
      <c r="M56" s="2" t="n">
        <v>60</v>
      </c>
      <c r="N56" s="2" t="n">
        <v>45</v>
      </c>
      <c r="O56" s="3" t="n">
        <v>36527.125</v>
      </c>
      <c r="P56" s="3" t="n">
        <v>36527.16666666666</v>
      </c>
      <c r="Q56" s="3" t="n">
        <v>36527.20833333334</v>
      </c>
    </row>
    <row r="57">
      <c r="A57" s="2" t="inlineStr">
        <is>
          <t>21-06-2026</t>
        </is>
      </c>
      <c r="B57" s="2" t="inlineStr">
        <is>
          <t>6E</t>
        </is>
      </c>
      <c r="C57" s="2" t="inlineStr">
        <is>
          <t>6E 1901</t>
        </is>
      </c>
      <c r="D57" s="3" t="n">
        <v>36527.3125</v>
      </c>
      <c r="E57" s="2" t="n">
        <v>7</v>
      </c>
      <c r="F57" s="2" t="inlineStr">
        <is>
          <t>DEL-ATH</t>
        </is>
      </c>
      <c r="G57" s="2" t="inlineStr">
        <is>
          <t>INTERNATIONAL</t>
        </is>
      </c>
      <c r="H57" s="2" t="inlineStr">
        <is>
          <t>Terminal 3</t>
        </is>
      </c>
      <c r="I57" s="2" t="inlineStr">
        <is>
          <t>AISATS</t>
        </is>
      </c>
      <c r="J57" s="2" t="n">
        <v>150</v>
      </c>
      <c r="K57" s="2" t="n">
        <v>120</v>
      </c>
      <c r="L57" s="2" t="n">
        <v>36</v>
      </c>
      <c r="M57" s="2" t="n">
        <v>48</v>
      </c>
      <c r="N57" s="2" t="n">
        <v>36</v>
      </c>
      <c r="O57" s="3" t="n">
        <v>36527.14583333334</v>
      </c>
      <c r="P57" s="3" t="n">
        <v>36527.1875</v>
      </c>
      <c r="Q57" s="3" t="n">
        <v>36527.22916666666</v>
      </c>
    </row>
    <row r="58">
      <c r="A58" s="2" t="inlineStr">
        <is>
          <t>21-06-2026</t>
        </is>
      </c>
      <c r="B58" s="2" t="inlineStr">
        <is>
          <t>AY</t>
        </is>
      </c>
      <c r="C58" s="2" t="inlineStr">
        <is>
          <t>AY 122</t>
        </is>
      </c>
      <c r="D58" s="3" t="n">
        <v>36527.31944444445</v>
      </c>
      <c r="E58" s="2" t="n">
        <v>7</v>
      </c>
      <c r="F58" s="2" t="inlineStr">
        <is>
          <t>DEL-HEL</t>
        </is>
      </c>
      <c r="G58" s="2" t="inlineStr">
        <is>
          <t>INTERNATIONAL</t>
        </is>
      </c>
      <c r="H58" s="2" t="inlineStr">
        <is>
          <t>Terminal 3</t>
        </is>
      </c>
      <c r="I58" s="2" t="inlineStr">
        <is>
          <t>IndiGo</t>
        </is>
      </c>
      <c r="J58" s="2" t="n">
        <v>195</v>
      </c>
      <c r="K58" s="2" t="n">
        <v>156</v>
      </c>
      <c r="L58" s="2" t="n">
        <v>47</v>
      </c>
      <c r="M58" s="2" t="n">
        <v>62</v>
      </c>
      <c r="N58" s="2" t="n">
        <v>47</v>
      </c>
      <c r="O58" s="3" t="n">
        <v>36527.15277777778</v>
      </c>
      <c r="P58" s="3" t="n">
        <v>36527.19444444445</v>
      </c>
      <c r="Q58" s="3" t="n">
        <v>36527.23611111111</v>
      </c>
    </row>
    <row r="59">
      <c r="A59" s="2" t="inlineStr">
        <is>
          <t>21-06-2026</t>
        </is>
      </c>
      <c r="B59" s="2" t="inlineStr">
        <is>
          <t>6E</t>
        </is>
      </c>
      <c r="C59" s="2" t="inlineStr">
        <is>
          <t>6E 011</t>
        </is>
      </c>
      <c r="D59" s="3" t="n">
        <v>36527.32291666666</v>
      </c>
      <c r="E59" s="2" t="n">
        <v>7</v>
      </c>
      <c r="F59" s="2" t="inlineStr">
        <is>
          <t>DEL-IST</t>
        </is>
      </c>
      <c r="G59" s="2" t="inlineStr">
        <is>
          <t>INTERNATIONAL</t>
        </is>
      </c>
      <c r="H59" s="2" t="inlineStr">
        <is>
          <t>Terminal 3</t>
        </is>
      </c>
      <c r="I59" s="2" t="inlineStr">
        <is>
          <t>BFS</t>
        </is>
      </c>
      <c r="J59" s="2" t="n">
        <v>279</v>
      </c>
      <c r="K59" s="2" t="n">
        <v>223</v>
      </c>
      <c r="L59" s="2" t="n">
        <v>67</v>
      </c>
      <c r="M59" s="2" t="n">
        <v>89</v>
      </c>
      <c r="N59" s="2" t="n">
        <v>67</v>
      </c>
      <c r="O59" s="3" t="n">
        <v>36527.15625</v>
      </c>
      <c r="P59" s="3" t="n">
        <v>36527.19791666666</v>
      </c>
      <c r="Q59" s="3" t="n">
        <v>36527.23958333334</v>
      </c>
    </row>
    <row r="60">
      <c r="A60" s="2" t="inlineStr">
        <is>
          <t>21-06-2026</t>
        </is>
      </c>
      <c r="B60" s="2" t="inlineStr">
        <is>
          <t>J9</t>
        </is>
      </c>
      <c r="C60" s="2" t="inlineStr">
        <is>
          <t>J9 410</t>
        </is>
      </c>
      <c r="D60" s="3" t="n">
        <v>36527.32291666666</v>
      </c>
      <c r="E60" s="2" t="n">
        <v>7</v>
      </c>
      <c r="F60" s="2" t="inlineStr">
        <is>
          <t>DEL-KWI</t>
        </is>
      </c>
      <c r="G60" s="2" t="inlineStr">
        <is>
          <t>INTERNATIONAL</t>
        </is>
      </c>
      <c r="H60" s="2" t="inlineStr">
        <is>
          <t>Terminal 3</t>
        </is>
      </c>
      <c r="I60" s="2" t="inlineStr">
        <is>
          <t>IndiGo</t>
        </is>
      </c>
      <c r="J60" s="2" t="n">
        <v>195</v>
      </c>
      <c r="K60" s="2" t="n">
        <v>156</v>
      </c>
      <c r="L60" s="2" t="n">
        <v>47</v>
      </c>
      <c r="M60" s="2" t="n">
        <v>62</v>
      </c>
      <c r="N60" s="2" t="n">
        <v>47</v>
      </c>
      <c r="O60" s="3" t="n">
        <v>36527.15625</v>
      </c>
      <c r="P60" s="3" t="n">
        <v>36527.19791666666</v>
      </c>
      <c r="Q60" s="3" t="n">
        <v>36527.23958333334</v>
      </c>
    </row>
    <row r="61">
      <c r="A61" s="2" t="inlineStr">
        <is>
          <t>21-06-2026</t>
        </is>
      </c>
      <c r="B61" s="2" t="inlineStr">
        <is>
          <t>SG</t>
        </is>
      </c>
      <c r="C61" s="2" t="inlineStr">
        <is>
          <t>SG 5111</t>
        </is>
      </c>
      <c r="D61" s="3" t="n">
        <v>36527.32291666666</v>
      </c>
      <c r="E61" s="2" t="n">
        <v>7</v>
      </c>
      <c r="F61" s="2" t="inlineStr">
        <is>
          <t>DEL-DXB</t>
        </is>
      </c>
      <c r="G61" s="2" t="inlineStr">
        <is>
          <t>INTERNATIONAL</t>
        </is>
      </c>
      <c r="H61" s="2" t="inlineStr">
        <is>
          <t>Terminal 3</t>
        </is>
      </c>
      <c r="I61" s="2" t="inlineStr">
        <is>
          <t>Ramp 360</t>
        </is>
      </c>
      <c r="J61" s="2" t="n">
        <v>174</v>
      </c>
      <c r="K61" s="2" t="n">
        <v>139</v>
      </c>
      <c r="L61" s="2" t="n">
        <v>42</v>
      </c>
      <c r="M61" s="2" t="n">
        <v>56</v>
      </c>
      <c r="N61" s="2" t="n">
        <v>42</v>
      </c>
      <c r="O61" s="3" t="n">
        <v>36527.15625</v>
      </c>
      <c r="P61" s="3" t="n">
        <v>36527.19791666666</v>
      </c>
      <c r="Q61" s="3" t="n">
        <v>36527.23958333334</v>
      </c>
    </row>
    <row r="62">
      <c r="A62" s="2" t="inlineStr">
        <is>
          <t>21-06-2026</t>
        </is>
      </c>
      <c r="B62" s="2" t="inlineStr">
        <is>
          <t>SU</t>
        </is>
      </c>
      <c r="C62" s="2" t="inlineStr">
        <is>
          <t>SU 233</t>
        </is>
      </c>
      <c r="D62" s="3" t="n">
        <v>36527.32638888889</v>
      </c>
      <c r="E62" s="2" t="n">
        <v>7</v>
      </c>
      <c r="F62" s="2" t="inlineStr">
        <is>
          <t>DEL-SVO</t>
        </is>
      </c>
      <c r="G62" s="2" t="inlineStr">
        <is>
          <t>INTERNATIONAL</t>
        </is>
      </c>
      <c r="H62" s="2" t="inlineStr">
        <is>
          <t>Terminal 3</t>
        </is>
      </c>
      <c r="I62" s="2" t="inlineStr">
        <is>
          <t>BFS</t>
        </is>
      </c>
      <c r="J62" s="2" t="n">
        <v>189</v>
      </c>
      <c r="K62" s="2" t="n">
        <v>151</v>
      </c>
      <c r="L62" s="2" t="n">
        <v>45</v>
      </c>
      <c r="M62" s="2" t="n">
        <v>60</v>
      </c>
      <c r="N62" s="2" t="n">
        <v>45</v>
      </c>
      <c r="O62" s="3" t="n">
        <v>36527.15972222222</v>
      </c>
      <c r="P62" s="3" t="n">
        <v>36527.20138888889</v>
      </c>
      <c r="Q62" s="3" t="n">
        <v>36527.24305555555</v>
      </c>
    </row>
    <row r="63">
      <c r="A63" s="6" t="inlineStr">
        <is>
          <t>21-06-2026</t>
        </is>
      </c>
      <c r="B63" s="6" t="inlineStr">
        <is>
          <t>LO</t>
        </is>
      </c>
      <c r="C63" s="6" t="inlineStr">
        <is>
          <t>LO 072</t>
        </is>
      </c>
      <c r="D63" s="7" t="n">
        <v>36527.33333333334</v>
      </c>
      <c r="E63" s="6" t="n">
        <v>8</v>
      </c>
      <c r="F63" s="6" t="inlineStr">
        <is>
          <t>DEL-WAW</t>
        </is>
      </c>
      <c r="G63" s="6" t="inlineStr">
        <is>
          <t>INTERNATIONAL</t>
        </is>
      </c>
      <c r="H63" s="6" t="inlineStr">
        <is>
          <t>Terminal 3</t>
        </is>
      </c>
      <c r="I63" s="6" t="inlineStr">
        <is>
          <t>IndiGo</t>
        </is>
      </c>
      <c r="J63" s="6" t="n">
        <v>186</v>
      </c>
      <c r="K63" s="6" t="n">
        <v>149</v>
      </c>
      <c r="L63" s="6" t="n">
        <v>45</v>
      </c>
      <c r="M63" s="6" t="n">
        <v>60</v>
      </c>
      <c r="N63" s="6" t="n">
        <v>45</v>
      </c>
      <c r="O63" s="7" t="n">
        <v>36527.16666666666</v>
      </c>
      <c r="P63" s="7" t="n">
        <v>36527.20833333334</v>
      </c>
      <c r="Q63" s="7" t="n">
        <v>36527.25</v>
      </c>
    </row>
    <row r="64">
      <c r="A64" s="6" t="inlineStr">
        <is>
          <t>21-06-2026</t>
        </is>
      </c>
      <c r="B64" s="6" t="inlineStr">
        <is>
          <t>AI</t>
        </is>
      </c>
      <c r="C64" s="6" t="inlineStr">
        <is>
          <t>AI 2355</t>
        </is>
      </c>
      <c r="D64" s="7" t="n">
        <v>36527.35069444445</v>
      </c>
      <c r="E64" s="6" t="n">
        <v>8</v>
      </c>
      <c r="F64" s="6" t="inlineStr">
        <is>
          <t>DEL-BKK</t>
        </is>
      </c>
      <c r="G64" s="6" t="inlineStr">
        <is>
          <t>INTERNATIONAL</t>
        </is>
      </c>
      <c r="H64" s="6" t="inlineStr">
        <is>
          <t>Terminal 3</t>
        </is>
      </c>
      <c r="I64" s="6" t="inlineStr">
        <is>
          <t>AISATS</t>
        </is>
      </c>
      <c r="J64" s="6" t="n">
        <v>252</v>
      </c>
      <c r="K64" s="6" t="n">
        <v>202</v>
      </c>
      <c r="L64" s="6" t="n">
        <v>61</v>
      </c>
      <c r="M64" s="6" t="n">
        <v>81</v>
      </c>
      <c r="N64" s="6" t="n">
        <v>61</v>
      </c>
      <c r="O64" s="7" t="n">
        <v>36527.18402777778</v>
      </c>
      <c r="P64" s="7" t="n">
        <v>36527.22569444445</v>
      </c>
      <c r="Q64" s="7" t="n">
        <v>36527.26736111111</v>
      </c>
    </row>
    <row r="65">
      <c r="A65" s="6" t="inlineStr">
        <is>
          <t>21-06-2026</t>
        </is>
      </c>
      <c r="B65" s="6" t="inlineStr">
        <is>
          <t>IX</t>
        </is>
      </c>
      <c r="C65" s="6" t="inlineStr">
        <is>
          <t>IX 179</t>
        </is>
      </c>
      <c r="D65" s="7" t="n">
        <v>36527.35069444445</v>
      </c>
      <c r="E65" s="6" t="n">
        <v>8</v>
      </c>
      <c r="F65" s="6" t="inlineStr">
        <is>
          <t>DEL-AUH</t>
        </is>
      </c>
      <c r="G65" s="6" t="inlineStr">
        <is>
          <t>INTERNATIONAL</t>
        </is>
      </c>
      <c r="H65" s="6" t="inlineStr">
        <is>
          <t>Terminal 3</t>
        </is>
      </c>
      <c r="I65" s="6" t="inlineStr">
        <is>
          <t>AISATS</t>
        </is>
      </c>
      <c r="J65" s="6" t="n">
        <v>164</v>
      </c>
      <c r="K65" s="6" t="n">
        <v>131</v>
      </c>
      <c r="L65" s="6" t="n">
        <v>39</v>
      </c>
      <c r="M65" s="6" t="n">
        <v>52</v>
      </c>
      <c r="N65" s="6" t="n">
        <v>39</v>
      </c>
      <c r="O65" s="7" t="n">
        <v>36527.18402777778</v>
      </c>
      <c r="P65" s="7" t="n">
        <v>36527.22569444445</v>
      </c>
      <c r="Q65" s="7" t="n">
        <v>36527.26736111111</v>
      </c>
    </row>
    <row r="66">
      <c r="A66" s="6" t="inlineStr">
        <is>
          <t>21-06-2026</t>
        </is>
      </c>
      <c r="B66" s="6" t="inlineStr">
        <is>
          <t>6E</t>
        </is>
      </c>
      <c r="C66" s="6" t="inlineStr">
        <is>
          <t>6E 1461</t>
        </is>
      </c>
      <c r="D66" s="7" t="n">
        <v>36527.35763888889</v>
      </c>
      <c r="E66" s="6" t="n">
        <v>8</v>
      </c>
      <c r="F66" s="6" t="inlineStr">
        <is>
          <t>DEL-DXB</t>
        </is>
      </c>
      <c r="G66" s="6" t="inlineStr">
        <is>
          <t>INTERNATIONAL</t>
        </is>
      </c>
      <c r="H66" s="6" t="inlineStr">
        <is>
          <t>Terminal 3</t>
        </is>
      </c>
      <c r="I66" s="6" t="inlineStr">
        <is>
          <t>IndiGo</t>
        </is>
      </c>
      <c r="J66" s="6" t="n">
        <v>180</v>
      </c>
      <c r="K66" s="6" t="n">
        <v>144</v>
      </c>
      <c r="L66" s="6" t="n">
        <v>43</v>
      </c>
      <c r="M66" s="6" t="n">
        <v>58</v>
      </c>
      <c r="N66" s="6" t="n">
        <v>43</v>
      </c>
      <c r="O66" s="7" t="n">
        <v>36527.19097222222</v>
      </c>
      <c r="P66" s="7" t="n">
        <v>36527.23263888889</v>
      </c>
      <c r="Q66" s="7" t="n">
        <v>36527.27430555555</v>
      </c>
    </row>
    <row r="67">
      <c r="A67" s="6" t="inlineStr">
        <is>
          <t>21-06-2026</t>
        </is>
      </c>
      <c r="B67" s="6" t="inlineStr">
        <is>
          <t>WY</t>
        </is>
      </c>
      <c r="C67" s="6" t="inlineStr">
        <is>
          <t>WY 242</t>
        </is>
      </c>
      <c r="D67" s="7" t="n">
        <v>36527.37152777778</v>
      </c>
      <c r="E67" s="6" t="n">
        <v>8</v>
      </c>
      <c r="F67" s="6" t="inlineStr">
        <is>
          <t>DEL-MCT</t>
        </is>
      </c>
      <c r="G67" s="6" t="inlineStr">
        <is>
          <t>INTERNATIONAL</t>
        </is>
      </c>
      <c r="H67" s="6" t="inlineStr">
        <is>
          <t>Terminal 3</t>
        </is>
      </c>
      <c r="I67" s="6" t="inlineStr">
        <is>
          <t>AISATS</t>
        </is>
      </c>
      <c r="J67" s="6" t="n">
        <v>180</v>
      </c>
      <c r="K67" s="6" t="n">
        <v>144</v>
      </c>
      <c r="L67" s="6" t="n">
        <v>43</v>
      </c>
      <c r="M67" s="6" t="n">
        <v>58</v>
      </c>
      <c r="N67" s="6" t="n">
        <v>43</v>
      </c>
      <c r="O67" s="7" t="n">
        <v>36527.20486111111</v>
      </c>
      <c r="P67" s="7" t="n">
        <v>36527.24652777778</v>
      </c>
      <c r="Q67" s="7" t="n">
        <v>36527.28819444445</v>
      </c>
    </row>
    <row r="68">
      <c r="A68" s="6" t="inlineStr">
        <is>
          <t>21-06-2026</t>
        </is>
      </c>
      <c r="B68" s="6" t="inlineStr">
        <is>
          <t>SQ</t>
        </is>
      </c>
      <c r="C68" s="6" t="inlineStr">
        <is>
          <t>SQ 401</t>
        </is>
      </c>
      <c r="D68" s="7" t="n">
        <v>36527.375</v>
      </c>
      <c r="E68" s="6" t="n">
        <v>9</v>
      </c>
      <c r="F68" s="6" t="inlineStr">
        <is>
          <t>DEL-SIN</t>
        </is>
      </c>
      <c r="G68" s="6" t="inlineStr">
        <is>
          <t>INTERNATIONAL</t>
        </is>
      </c>
      <c r="H68" s="6" t="inlineStr">
        <is>
          <t>Terminal 3</t>
        </is>
      </c>
      <c r="I68" s="6" t="inlineStr">
        <is>
          <t>AISATS</t>
        </is>
      </c>
      <c r="J68" s="6" t="n">
        <v>162</v>
      </c>
      <c r="K68" s="6" t="n">
        <v>130</v>
      </c>
      <c r="L68" s="6" t="n">
        <v>39</v>
      </c>
      <c r="M68" s="6" t="n">
        <v>52</v>
      </c>
      <c r="N68" s="6" t="n">
        <v>39</v>
      </c>
      <c r="O68" s="7" t="n">
        <v>36527.20833333334</v>
      </c>
      <c r="P68" s="7" t="n">
        <v>36527.25</v>
      </c>
      <c r="Q68" s="7" t="n">
        <v>36527.29166666666</v>
      </c>
    </row>
    <row r="69">
      <c r="A69" s="6" t="inlineStr">
        <is>
          <t>21-06-2026</t>
        </is>
      </c>
      <c r="B69" s="6" t="inlineStr">
        <is>
          <t>6E</t>
        </is>
      </c>
      <c r="C69" s="6" t="inlineStr">
        <is>
          <t>6E 1013</t>
        </is>
      </c>
      <c r="D69" s="7" t="n">
        <v>36527.37847222222</v>
      </c>
      <c r="E69" s="6" t="n">
        <v>9</v>
      </c>
      <c r="F69" s="6" t="inlineStr">
        <is>
          <t>DEL-SIN</t>
        </is>
      </c>
      <c r="G69" s="6" t="inlineStr">
        <is>
          <t>INTERNATIONAL</t>
        </is>
      </c>
      <c r="H69" s="6" t="inlineStr">
        <is>
          <t>Terminal 3</t>
        </is>
      </c>
      <c r="I69" s="6" t="inlineStr">
        <is>
          <t>IndiGo</t>
        </is>
      </c>
      <c r="J69" s="6" t="n">
        <v>337</v>
      </c>
      <c r="K69" s="6" t="n">
        <v>270</v>
      </c>
      <c r="L69" s="6" t="n">
        <v>81</v>
      </c>
      <c r="M69" s="6" t="n">
        <v>108</v>
      </c>
      <c r="N69" s="6" t="n">
        <v>81</v>
      </c>
      <c r="O69" s="7" t="n">
        <v>36527.21180555555</v>
      </c>
      <c r="P69" s="7" t="n">
        <v>36527.25347222222</v>
      </c>
      <c r="Q69" s="7" t="n">
        <v>36527.29513888889</v>
      </c>
    </row>
    <row r="70">
      <c r="A70" s="6" t="inlineStr">
        <is>
          <t>21-06-2026</t>
        </is>
      </c>
      <c r="B70" s="6" t="inlineStr">
        <is>
          <t>EY</t>
        </is>
      </c>
      <c r="C70" s="6" t="inlineStr">
        <is>
          <t>EY 213</t>
        </is>
      </c>
      <c r="D70" s="7" t="n">
        <v>36527.39236111111</v>
      </c>
      <c r="E70" s="6" t="n">
        <v>9</v>
      </c>
      <c r="F70" s="6" t="inlineStr">
        <is>
          <t>DEL-AUH</t>
        </is>
      </c>
      <c r="G70" s="6" t="inlineStr">
        <is>
          <t>INTERNATIONAL</t>
        </is>
      </c>
      <c r="H70" s="6" t="inlineStr">
        <is>
          <t>Terminal 3</t>
        </is>
      </c>
      <c r="I70" s="6" t="inlineStr">
        <is>
          <t>IndiGo</t>
        </is>
      </c>
      <c r="J70" s="6" t="n">
        <v>222</v>
      </c>
      <c r="K70" s="6" t="n">
        <v>178</v>
      </c>
      <c r="L70" s="6" t="n">
        <v>53</v>
      </c>
      <c r="M70" s="6" t="n">
        <v>71</v>
      </c>
      <c r="N70" s="6" t="n">
        <v>53</v>
      </c>
      <c r="O70" s="7" t="n">
        <v>36527.22569444445</v>
      </c>
      <c r="P70" s="7" t="n">
        <v>36527.26736111111</v>
      </c>
      <c r="Q70" s="7" t="n">
        <v>36527.30902777778</v>
      </c>
    </row>
    <row r="71">
      <c r="A71" s="6" t="inlineStr">
        <is>
          <t>21-06-2026</t>
        </is>
      </c>
      <c r="B71" s="6" t="inlineStr">
        <is>
          <t>W5</t>
        </is>
      </c>
      <c r="C71" s="6" t="inlineStr">
        <is>
          <t>W5 070</t>
        </is>
      </c>
      <c r="D71" s="7" t="n">
        <v>36527.39583333334</v>
      </c>
      <c r="E71" s="6" t="n">
        <v>9</v>
      </c>
      <c r="F71" s="6" t="inlineStr">
        <is>
          <t>DEL-IKA</t>
        </is>
      </c>
      <c r="G71" s="6" t="inlineStr">
        <is>
          <t>INTERNATIONAL</t>
        </is>
      </c>
      <c r="H71" s="6" t="inlineStr">
        <is>
          <t>Terminal 3</t>
        </is>
      </c>
      <c r="I71" s="6" t="inlineStr">
        <is>
          <t>AISATS</t>
        </is>
      </c>
      <c r="J71" s="6" t="n">
        <v>158</v>
      </c>
      <c r="K71" s="6" t="n">
        <v>126</v>
      </c>
      <c r="L71" s="6" t="n">
        <v>38</v>
      </c>
      <c r="M71" s="6" t="n">
        <v>50</v>
      </c>
      <c r="N71" s="6" t="n">
        <v>38</v>
      </c>
      <c r="O71" s="7" t="n">
        <v>36527.22916666666</v>
      </c>
      <c r="P71" s="7" t="n">
        <v>36527.27083333334</v>
      </c>
      <c r="Q71" s="7" t="n">
        <v>36527.3125</v>
      </c>
    </row>
    <row r="72">
      <c r="A72" s="6" t="inlineStr">
        <is>
          <t>21-06-2026</t>
        </is>
      </c>
      <c r="B72" s="6" t="inlineStr">
        <is>
          <t>ET</t>
        </is>
      </c>
      <c r="C72" s="6" t="inlineStr">
        <is>
          <t>ET 689</t>
        </is>
      </c>
      <c r="D72" s="7" t="n">
        <v>36527.39930555555</v>
      </c>
      <c r="E72" s="6" t="n">
        <v>9</v>
      </c>
      <c r="F72" s="6" t="inlineStr">
        <is>
          <t>DEL-ADD</t>
        </is>
      </c>
      <c r="G72" s="6" t="inlineStr">
        <is>
          <t>INTERNATIONAL</t>
        </is>
      </c>
      <c r="H72" s="6" t="inlineStr">
        <is>
          <t>Terminal 3</t>
        </is>
      </c>
      <c r="I72" s="6" t="inlineStr">
        <is>
          <t>AISATS</t>
        </is>
      </c>
      <c r="J72" s="6" t="n">
        <v>308</v>
      </c>
      <c r="K72" s="6" t="n">
        <v>246</v>
      </c>
      <c r="L72" s="6" t="n">
        <v>74</v>
      </c>
      <c r="M72" s="6" t="n">
        <v>98</v>
      </c>
      <c r="N72" s="6" t="n">
        <v>74</v>
      </c>
      <c r="O72" s="7" t="n">
        <v>36527.23263888889</v>
      </c>
      <c r="P72" s="7" t="n">
        <v>36527.27430555555</v>
      </c>
      <c r="Q72" s="7" t="n">
        <v>36527.31597222222</v>
      </c>
    </row>
    <row r="73">
      <c r="A73" s="6" t="inlineStr">
        <is>
          <t>21-06-2026</t>
        </is>
      </c>
      <c r="B73" s="6" t="inlineStr">
        <is>
          <t>AI</t>
        </is>
      </c>
      <c r="C73" s="6" t="inlineStr">
        <is>
          <t>AI 917</t>
        </is>
      </c>
      <c r="D73" s="7" t="n">
        <v>36527.40972222222</v>
      </c>
      <c r="E73" s="6" t="n">
        <v>9</v>
      </c>
      <c r="F73" s="6" t="inlineStr">
        <is>
          <t>DEL-DXB</t>
        </is>
      </c>
      <c r="G73" s="6" t="inlineStr">
        <is>
          <t>INTERNATIONAL</t>
        </is>
      </c>
      <c r="H73" s="6" t="inlineStr">
        <is>
          <t>Terminal 3</t>
        </is>
      </c>
      <c r="I73" s="6" t="inlineStr">
        <is>
          <t>Ramp 360</t>
        </is>
      </c>
      <c r="J73" s="6" t="n">
        <v>315</v>
      </c>
      <c r="K73" s="6" t="n">
        <v>252</v>
      </c>
      <c r="L73" s="6" t="n">
        <v>76</v>
      </c>
      <c r="M73" s="6" t="n">
        <v>101</v>
      </c>
      <c r="N73" s="6" t="n">
        <v>76</v>
      </c>
      <c r="O73" s="7" t="n">
        <v>36527.24305555555</v>
      </c>
      <c r="P73" s="7" t="n">
        <v>36527.28472222222</v>
      </c>
      <c r="Q73" s="7" t="n">
        <v>36527.32638888889</v>
      </c>
    </row>
    <row r="74">
      <c r="A74" s="6" t="inlineStr">
        <is>
          <t>21-06-2026</t>
        </is>
      </c>
      <c r="B74" s="6" t="inlineStr">
        <is>
          <t>BA</t>
        </is>
      </c>
      <c r="C74" s="6" t="inlineStr">
        <is>
          <t>BA 256</t>
        </is>
      </c>
      <c r="D74" s="7" t="n">
        <v>36527.42013888889</v>
      </c>
      <c r="E74" s="6" t="n">
        <v>10</v>
      </c>
      <c r="F74" s="6" t="inlineStr">
        <is>
          <t>DEL-LHR</t>
        </is>
      </c>
      <c r="G74" s="6" t="inlineStr">
        <is>
          <t>INTERNATIONAL</t>
        </is>
      </c>
      <c r="H74" s="6" t="inlineStr">
        <is>
          <t>Terminal 3</t>
        </is>
      </c>
      <c r="I74" s="6" t="inlineStr">
        <is>
          <t>AISATS</t>
        </is>
      </c>
      <c r="J74" s="6" t="n">
        <v>164</v>
      </c>
      <c r="K74" s="6" t="n">
        <v>131</v>
      </c>
      <c r="L74" s="6" t="n">
        <v>39</v>
      </c>
      <c r="M74" s="6" t="n">
        <v>52</v>
      </c>
      <c r="N74" s="6" t="n">
        <v>39</v>
      </c>
      <c r="O74" s="7" t="n">
        <v>36527.25347222222</v>
      </c>
      <c r="P74" s="7" t="n">
        <v>36527.29513888889</v>
      </c>
      <c r="Q74" s="7" t="n">
        <v>36527.33680555555</v>
      </c>
    </row>
    <row r="75">
      <c r="A75" s="6" t="inlineStr">
        <is>
          <t>21-06-2026</t>
        </is>
      </c>
      <c r="B75" s="6" t="inlineStr">
        <is>
          <t>QR</t>
        </is>
      </c>
      <c r="C75" s="6" t="inlineStr">
        <is>
          <t>QR 571</t>
        </is>
      </c>
      <c r="D75" s="7" t="n">
        <v>36527.43402777778</v>
      </c>
      <c r="E75" s="6" t="n">
        <v>10</v>
      </c>
      <c r="F75" s="6" t="inlineStr">
        <is>
          <t>DEL-DOH</t>
        </is>
      </c>
      <c r="G75" s="6" t="inlineStr">
        <is>
          <t>INTERNATIONAL</t>
        </is>
      </c>
      <c r="H75" s="6" t="inlineStr">
        <is>
          <t>Terminal 3</t>
        </is>
      </c>
      <c r="I75" s="6" t="inlineStr">
        <is>
          <t>Ramp 360</t>
        </is>
      </c>
      <c r="J75" s="6" t="n">
        <v>204</v>
      </c>
      <c r="K75" s="6" t="n">
        <v>163</v>
      </c>
      <c r="L75" s="6" t="n">
        <v>49</v>
      </c>
      <c r="M75" s="6" t="n">
        <v>65</v>
      </c>
      <c r="N75" s="6" t="n">
        <v>49</v>
      </c>
      <c r="O75" s="7" t="n">
        <v>36527.26736111111</v>
      </c>
      <c r="P75" s="7" t="n">
        <v>36527.30902777778</v>
      </c>
      <c r="Q75" s="7" t="n">
        <v>36527.35069444445</v>
      </c>
    </row>
    <row r="76">
      <c r="A76" s="6" t="inlineStr">
        <is>
          <t>21-06-2026</t>
        </is>
      </c>
      <c r="B76" s="6" t="inlineStr">
        <is>
          <t>AI</t>
        </is>
      </c>
      <c r="C76" s="6" t="inlineStr">
        <is>
          <t>AI 4209</t>
        </is>
      </c>
      <c r="D76" s="7" t="n">
        <v>36527.44097222222</v>
      </c>
      <c r="E76" s="6" t="n">
        <v>10</v>
      </c>
      <c r="F76" s="6" t="inlineStr">
        <is>
          <t>DEL-DXB</t>
        </is>
      </c>
      <c r="G76" s="6" t="inlineStr">
        <is>
          <t>INTERNATIONAL</t>
        </is>
      </c>
      <c r="H76" s="6" t="inlineStr">
        <is>
          <t>Terminal 3</t>
        </is>
      </c>
      <c r="I76" s="6" t="inlineStr">
        <is>
          <t>Ramp 360</t>
        </is>
      </c>
      <c r="J76" s="6" t="n">
        <v>254</v>
      </c>
      <c r="K76" s="6" t="n">
        <v>203</v>
      </c>
      <c r="L76" s="6" t="n">
        <v>61</v>
      </c>
      <c r="M76" s="6" t="n">
        <v>81</v>
      </c>
      <c r="N76" s="6" t="n">
        <v>61</v>
      </c>
      <c r="O76" s="7" t="n">
        <v>36527.27430555555</v>
      </c>
      <c r="P76" s="7" t="n">
        <v>36527.31597222222</v>
      </c>
      <c r="Q76" s="7" t="n">
        <v>36527.35763888889</v>
      </c>
    </row>
    <row r="77">
      <c r="A77" s="6" t="inlineStr">
        <is>
          <t>21-06-2026</t>
        </is>
      </c>
      <c r="B77" s="6" t="inlineStr">
        <is>
          <t>AI</t>
        </is>
      </c>
      <c r="C77" s="6" t="inlineStr">
        <is>
          <t>AI 113</t>
        </is>
      </c>
      <c r="D77" s="7" t="n">
        <v>36527.44791666666</v>
      </c>
      <c r="E77" s="6" t="n">
        <v>10</v>
      </c>
      <c r="F77" s="6" t="inlineStr">
        <is>
          <t>DEL-CDG</t>
        </is>
      </c>
      <c r="G77" s="6" t="inlineStr">
        <is>
          <t>INTERNATIONAL</t>
        </is>
      </c>
      <c r="H77" s="6" t="inlineStr">
        <is>
          <t>Terminal 3</t>
        </is>
      </c>
      <c r="I77" s="6" t="inlineStr">
        <is>
          <t>AISATS</t>
        </is>
      </c>
      <c r="J77" s="6" t="n">
        <v>259</v>
      </c>
      <c r="K77" s="6" t="n">
        <v>207</v>
      </c>
      <c r="L77" s="6" t="n">
        <v>62</v>
      </c>
      <c r="M77" s="6" t="n">
        <v>83</v>
      </c>
      <c r="N77" s="6" t="n">
        <v>62</v>
      </c>
      <c r="O77" s="7" t="n">
        <v>36527.28125</v>
      </c>
      <c r="P77" s="7" t="n">
        <v>36527.32291666666</v>
      </c>
      <c r="Q77" s="7" t="n">
        <v>36527.36458333334</v>
      </c>
    </row>
    <row r="78">
      <c r="A78" s="6" t="inlineStr">
        <is>
          <t>21-06-2026</t>
        </is>
      </c>
      <c r="B78" s="6" t="inlineStr">
        <is>
          <t>6E</t>
        </is>
      </c>
      <c r="C78" s="6" t="inlineStr">
        <is>
          <t>6E 003</t>
        </is>
      </c>
      <c r="D78" s="7" t="n">
        <v>36527.45138888889</v>
      </c>
      <c r="E78" s="6" t="n">
        <v>10</v>
      </c>
      <c r="F78" s="6" t="inlineStr">
        <is>
          <t>DEL-BHX</t>
        </is>
      </c>
      <c r="G78" s="6" t="inlineStr">
        <is>
          <t>INTERNATIONAL</t>
        </is>
      </c>
      <c r="H78" s="6" t="inlineStr">
        <is>
          <t>Terminal 3</t>
        </is>
      </c>
      <c r="I78" s="6" t="inlineStr">
        <is>
          <t>AISATS</t>
        </is>
      </c>
      <c r="J78" s="6" t="n">
        <v>259</v>
      </c>
      <c r="K78" s="6" t="n">
        <v>207</v>
      </c>
      <c r="L78" s="6" t="n">
        <v>62</v>
      </c>
      <c r="M78" s="6" t="n">
        <v>83</v>
      </c>
      <c r="N78" s="6" t="n">
        <v>62</v>
      </c>
      <c r="O78" s="7" t="n">
        <v>36527.28472222222</v>
      </c>
      <c r="P78" s="7" t="n">
        <v>36527.32638888889</v>
      </c>
      <c r="Q78" s="7" t="n">
        <v>36527.36805555555</v>
      </c>
    </row>
    <row r="79">
      <c r="A79" s="6" t="inlineStr">
        <is>
          <t>21-06-2026</t>
        </is>
      </c>
      <c r="B79" s="6" t="inlineStr">
        <is>
          <t>K9</t>
        </is>
      </c>
      <c r="C79" s="6" t="inlineStr">
        <is>
          <t>K9 1602</t>
        </is>
      </c>
      <c r="D79" s="7" t="n">
        <v>36527.45138888889</v>
      </c>
      <c r="E79" s="6" t="n">
        <v>10</v>
      </c>
      <c r="F79" s="6" t="inlineStr">
        <is>
          <t>DEL-KTM-PBH</t>
        </is>
      </c>
      <c r="G79" s="6" t="inlineStr">
        <is>
          <t>INTERNATIONAL</t>
        </is>
      </c>
      <c r="H79" s="6" t="inlineStr">
        <is>
          <t>Terminal 3</t>
        </is>
      </c>
      <c r="I79" s="6" t="inlineStr">
        <is>
          <t>IndiGo</t>
        </is>
      </c>
      <c r="J79" s="6" t="n">
        <v>338</v>
      </c>
      <c r="K79" s="6" t="n">
        <v>270</v>
      </c>
      <c r="L79" s="6" t="n">
        <v>81</v>
      </c>
      <c r="M79" s="6" t="n">
        <v>108</v>
      </c>
      <c r="N79" s="6" t="n">
        <v>81</v>
      </c>
      <c r="O79" s="7" t="n">
        <v>36527.28472222222</v>
      </c>
      <c r="P79" s="7" t="n">
        <v>36527.32638888889</v>
      </c>
      <c r="Q79" s="7" t="n">
        <v>36527.36805555555</v>
      </c>
    </row>
    <row r="80">
      <c r="A80" s="6" t="inlineStr">
        <is>
          <t>21-06-2026</t>
        </is>
      </c>
      <c r="B80" s="6" t="inlineStr">
        <is>
          <t>AI</t>
        </is>
      </c>
      <c r="C80" s="6" t="inlineStr">
        <is>
          <t>AI 2332</t>
        </is>
      </c>
      <c r="D80" s="7" t="n">
        <v>36527.45486111111</v>
      </c>
      <c r="E80" s="6" t="n">
        <v>10</v>
      </c>
      <c r="F80" s="6" t="inlineStr">
        <is>
          <t>DEL-BSL</t>
        </is>
      </c>
      <c r="G80" s="6" t="inlineStr">
        <is>
          <t>INTERNATIONAL</t>
        </is>
      </c>
      <c r="H80" s="6" t="inlineStr">
        <is>
          <t>Terminal 3</t>
        </is>
      </c>
      <c r="I80" s="6" t="inlineStr">
        <is>
          <t>BFS</t>
        </is>
      </c>
      <c r="J80" s="6" t="n">
        <v>126</v>
      </c>
      <c r="K80" s="6" t="n">
        <v>101</v>
      </c>
      <c r="L80" s="6" t="n">
        <v>30</v>
      </c>
      <c r="M80" s="6" t="n">
        <v>40</v>
      </c>
      <c r="N80" s="6" t="n">
        <v>30</v>
      </c>
      <c r="O80" s="7" t="n">
        <v>36527.28819444445</v>
      </c>
      <c r="P80" s="7" t="n">
        <v>36527.32986111111</v>
      </c>
      <c r="Q80" s="7" t="n">
        <v>36527.37152777778</v>
      </c>
    </row>
    <row r="81">
      <c r="A81" s="6" t="inlineStr">
        <is>
          <t>21-06-2026</t>
        </is>
      </c>
      <c r="B81" s="6" t="inlineStr">
        <is>
          <t>EK</t>
        </is>
      </c>
      <c r="C81" s="6" t="inlineStr">
        <is>
          <t>EK 511</t>
        </is>
      </c>
      <c r="D81" s="7" t="n">
        <v>36527.45833333334</v>
      </c>
      <c r="E81" s="6" t="n">
        <v>11</v>
      </c>
      <c r="F81" s="6" t="inlineStr">
        <is>
          <t>DEL-DXB</t>
        </is>
      </c>
      <c r="G81" s="6" t="inlineStr">
        <is>
          <t>INTERNATIONAL</t>
        </is>
      </c>
      <c r="H81" s="6" t="inlineStr">
        <is>
          <t>Terminal 3</t>
        </is>
      </c>
      <c r="I81" s="6" t="inlineStr">
        <is>
          <t>AISATS</t>
        </is>
      </c>
      <c r="J81" s="6" t="n">
        <v>164</v>
      </c>
      <c r="K81" s="6" t="n">
        <v>131</v>
      </c>
      <c r="L81" s="6" t="n">
        <v>39</v>
      </c>
      <c r="M81" s="6" t="n">
        <v>52</v>
      </c>
      <c r="N81" s="6" t="n">
        <v>39</v>
      </c>
      <c r="O81" s="7" t="n">
        <v>36527.29166666666</v>
      </c>
      <c r="P81" s="7" t="n">
        <v>36527.33333333334</v>
      </c>
      <c r="Q81" s="7" t="n">
        <v>36527.375</v>
      </c>
    </row>
    <row r="82">
      <c r="A82" s="6" t="inlineStr">
        <is>
          <t>21-06-2026</t>
        </is>
      </c>
      <c r="B82" s="6" t="inlineStr">
        <is>
          <t>AI</t>
        </is>
      </c>
      <c r="C82" s="6" t="inlineStr">
        <is>
          <t>AI 237</t>
        </is>
      </c>
      <c r="D82" s="7" t="n">
        <v>36527.46527777778</v>
      </c>
      <c r="E82" s="6" t="n">
        <v>11</v>
      </c>
      <c r="F82" s="6" t="inlineStr">
        <is>
          <t>DEL-DAC</t>
        </is>
      </c>
      <c r="G82" s="6" t="inlineStr">
        <is>
          <t>INTERNATIONAL</t>
        </is>
      </c>
      <c r="H82" s="6" t="inlineStr">
        <is>
          <t>Terminal 3</t>
        </is>
      </c>
      <c r="I82" s="6" t="inlineStr">
        <is>
          <t>AISATS</t>
        </is>
      </c>
      <c r="J82" s="6" t="n">
        <v>164</v>
      </c>
      <c r="K82" s="6" t="n">
        <v>131</v>
      </c>
      <c r="L82" s="6" t="n">
        <v>39</v>
      </c>
      <c r="M82" s="6" t="n">
        <v>52</v>
      </c>
      <c r="N82" s="6" t="n">
        <v>39</v>
      </c>
      <c r="O82" s="7" t="n">
        <v>36527.29861111111</v>
      </c>
      <c r="P82" s="7" t="n">
        <v>36527.34027777778</v>
      </c>
      <c r="Q82" s="7" t="n">
        <v>36527.38194444445</v>
      </c>
    </row>
    <row r="83">
      <c r="A83" s="6" t="inlineStr">
        <is>
          <t>21-06-2026</t>
        </is>
      </c>
      <c r="B83" s="6" t="inlineStr">
        <is>
          <t>6E</t>
        </is>
      </c>
      <c r="C83" s="6" t="inlineStr">
        <is>
          <t>6E 1153</t>
        </is>
      </c>
      <c r="D83" s="7" t="n">
        <v>36527.46527777778</v>
      </c>
      <c r="E83" s="6" t="n">
        <v>11</v>
      </c>
      <c r="F83" s="6" t="inlineStr">
        <is>
          <t>DEL-KTM</t>
        </is>
      </c>
      <c r="G83" s="6" t="inlineStr">
        <is>
          <t>INTERNATIONAL</t>
        </is>
      </c>
      <c r="H83" s="6" t="inlineStr">
        <is>
          <t>Terminal 3</t>
        </is>
      </c>
      <c r="I83" s="6" t="inlineStr">
        <is>
          <t>AISATS</t>
        </is>
      </c>
      <c r="J83" s="6" t="n">
        <v>360</v>
      </c>
      <c r="K83" s="6" t="n">
        <v>288</v>
      </c>
      <c r="L83" s="6" t="n">
        <v>86</v>
      </c>
      <c r="M83" s="6" t="n">
        <v>115</v>
      </c>
      <c r="N83" s="6" t="n">
        <v>86</v>
      </c>
      <c r="O83" s="7" t="n">
        <v>36527.29861111111</v>
      </c>
      <c r="P83" s="7" t="n">
        <v>36527.34027777778</v>
      </c>
      <c r="Q83" s="7" t="n">
        <v>36527.38194444445</v>
      </c>
    </row>
    <row r="84">
      <c r="A84" s="6" t="inlineStr">
        <is>
          <t>21-06-2026</t>
        </is>
      </c>
      <c r="B84" s="6" t="inlineStr">
        <is>
          <t>VS</t>
        </is>
      </c>
      <c r="C84" s="6" t="inlineStr">
        <is>
          <t>VS 301</t>
        </is>
      </c>
      <c r="D84" s="7" t="n">
        <v>36527.46527777778</v>
      </c>
      <c r="E84" s="6" t="n">
        <v>11</v>
      </c>
      <c r="F84" s="6" t="inlineStr">
        <is>
          <t>DEL-LHR</t>
        </is>
      </c>
      <c r="G84" s="6" t="inlineStr">
        <is>
          <t>INTERNATIONAL</t>
        </is>
      </c>
      <c r="H84" s="6" t="inlineStr">
        <is>
          <t>Terminal 3</t>
        </is>
      </c>
      <c r="I84" s="6" t="inlineStr">
        <is>
          <t>IndiGo</t>
        </is>
      </c>
      <c r="J84" s="6" t="n">
        <v>360</v>
      </c>
      <c r="K84" s="6" t="n">
        <v>288</v>
      </c>
      <c r="L84" s="6" t="n">
        <v>86</v>
      </c>
      <c r="M84" s="6" t="n">
        <v>115</v>
      </c>
      <c r="N84" s="6" t="n">
        <v>86</v>
      </c>
      <c r="O84" s="7" t="n">
        <v>36527.29861111111</v>
      </c>
      <c r="P84" s="7" t="n">
        <v>36527.34027777778</v>
      </c>
      <c r="Q84" s="7" t="n">
        <v>36527.38194444445</v>
      </c>
    </row>
    <row r="85">
      <c r="A85" s="6" t="inlineStr">
        <is>
          <t>21-06-2026</t>
        </is>
      </c>
      <c r="B85" s="6" t="inlineStr">
        <is>
          <t>AI</t>
        </is>
      </c>
      <c r="C85" s="6" t="inlineStr">
        <is>
          <t>AI 155</t>
        </is>
      </c>
      <c r="D85" s="7" t="n">
        <v>36527.46875</v>
      </c>
      <c r="E85" s="6" t="n">
        <v>11</v>
      </c>
      <c r="F85" s="6" t="inlineStr">
        <is>
          <t>DEL-AMS</t>
        </is>
      </c>
      <c r="G85" s="6" t="inlineStr">
        <is>
          <t>INTERNATIONAL</t>
        </is>
      </c>
      <c r="H85" s="6" t="inlineStr">
        <is>
          <t>Terminal 3</t>
        </is>
      </c>
      <c r="I85" s="6" t="inlineStr">
        <is>
          <t>BFS</t>
        </is>
      </c>
      <c r="J85" s="6" t="n">
        <v>397</v>
      </c>
      <c r="K85" s="6" t="n">
        <v>318</v>
      </c>
      <c r="L85" s="6" t="n">
        <v>95</v>
      </c>
      <c r="M85" s="6" t="n">
        <v>127</v>
      </c>
      <c r="N85" s="6" t="n">
        <v>95</v>
      </c>
      <c r="O85" s="7" t="n">
        <v>36527.30208333334</v>
      </c>
      <c r="P85" s="7" t="n">
        <v>36527.34375</v>
      </c>
      <c r="Q85" s="7" t="n">
        <v>36527.38541666666</v>
      </c>
    </row>
    <row r="86">
      <c r="A86" s="6" t="inlineStr">
        <is>
          <t>21-06-2026</t>
        </is>
      </c>
      <c r="B86" s="6" t="inlineStr">
        <is>
          <t>SV</t>
        </is>
      </c>
      <c r="C86" s="6" t="inlineStr">
        <is>
          <t>SV 757</t>
        </is>
      </c>
      <c r="D86" s="7" t="n">
        <v>36527.47569444445</v>
      </c>
      <c r="E86" s="6" t="n">
        <v>11</v>
      </c>
      <c r="F86" s="6" t="inlineStr">
        <is>
          <t>DEL-JED</t>
        </is>
      </c>
      <c r="G86" s="6" t="inlineStr">
        <is>
          <t>INTERNATIONAL</t>
        </is>
      </c>
      <c r="H86" s="6" t="inlineStr">
        <is>
          <t>Terminal 3</t>
        </is>
      </c>
      <c r="I86" s="6" t="inlineStr">
        <is>
          <t>AISATS</t>
        </is>
      </c>
      <c r="J86" s="6" t="n">
        <v>259</v>
      </c>
      <c r="K86" s="6" t="n">
        <v>207</v>
      </c>
      <c r="L86" s="6" t="n">
        <v>62</v>
      </c>
      <c r="M86" s="6" t="n">
        <v>83</v>
      </c>
      <c r="N86" s="6" t="n">
        <v>62</v>
      </c>
      <c r="O86" s="7" t="n">
        <v>36527.30902777778</v>
      </c>
      <c r="P86" s="7" t="n">
        <v>36527.35069444445</v>
      </c>
      <c r="Q86" s="7" t="n">
        <v>36527.39236111111</v>
      </c>
    </row>
    <row r="87">
      <c r="A87" s="6" t="inlineStr">
        <is>
          <t>21-06-2026</t>
        </is>
      </c>
      <c r="B87" s="6" t="inlineStr">
        <is>
          <t>KC</t>
        </is>
      </c>
      <c r="C87" s="6" t="inlineStr">
        <is>
          <t>KC 908</t>
        </is>
      </c>
      <c r="D87" s="7" t="n">
        <v>36527.47569444445</v>
      </c>
      <c r="E87" s="6" t="n">
        <v>11</v>
      </c>
      <c r="F87" s="6" t="inlineStr">
        <is>
          <t>DEL-ALA</t>
        </is>
      </c>
      <c r="G87" s="6" t="inlineStr">
        <is>
          <t>INTERNATIONAL</t>
        </is>
      </c>
      <c r="H87" s="6" t="inlineStr">
        <is>
          <t>Terminal 3</t>
        </is>
      </c>
      <c r="I87" s="6" t="inlineStr">
        <is>
          <t>AISATS</t>
        </is>
      </c>
      <c r="J87" s="6" t="n">
        <v>445</v>
      </c>
      <c r="K87" s="6" t="n">
        <v>356</v>
      </c>
      <c r="L87" s="6" t="n">
        <v>107</v>
      </c>
      <c r="M87" s="6" t="n">
        <v>142</v>
      </c>
      <c r="N87" s="6" t="n">
        <v>107</v>
      </c>
      <c r="O87" s="7" t="n">
        <v>36527.30902777778</v>
      </c>
      <c r="P87" s="7" t="n">
        <v>36527.35069444445</v>
      </c>
      <c r="Q87" s="7" t="n">
        <v>36527.39236111111</v>
      </c>
    </row>
    <row r="88">
      <c r="A88" s="6" t="inlineStr">
        <is>
          <t>21-06-2026</t>
        </is>
      </c>
      <c r="B88" s="6" t="inlineStr">
        <is>
          <t>VERIFY</t>
        </is>
      </c>
      <c r="C88" s="6" t="inlineStr">
        <is>
          <t>VERIFY (87)</t>
        </is>
      </c>
      <c r="D88" s="7" t="n"/>
      <c r="E88" s="6" t="n"/>
      <c r="F88" s="6" t="inlineStr"/>
      <c r="G88" s="6" t="inlineStr">
        <is>
          <t>INTERNATIONAL</t>
        </is>
      </c>
      <c r="H88" s="6" t="inlineStr">
        <is>
          <t>Terminal 3</t>
        </is>
      </c>
      <c r="I88" s="6" t="inlineStr"/>
      <c r="J88" s="6" t="n"/>
      <c r="K88" s="6" t="n"/>
      <c r="L88" s="6" t="n"/>
      <c r="M88" s="6" t="n"/>
      <c r="N88" s="6" t="n"/>
      <c r="O88" s="7" t="n"/>
      <c r="P88" s="7" t="n"/>
      <c r="Q88" s="7" t="n"/>
    </row>
    <row r="89">
      <c r="A89" s="6" t="inlineStr">
        <is>
          <t>21-06-2026</t>
        </is>
      </c>
      <c r="B89" s="6" t="inlineStr">
        <is>
          <t>VERIFY</t>
        </is>
      </c>
      <c r="C89" s="6" t="inlineStr">
        <is>
          <t>VERIFY (88)</t>
        </is>
      </c>
      <c r="D89" s="7" t="n"/>
      <c r="E89" s="6" t="n"/>
      <c r="F89" s="6" t="inlineStr"/>
      <c r="G89" s="6" t="inlineStr">
        <is>
          <t>INTERNATIONAL</t>
        </is>
      </c>
      <c r="H89" s="6" t="inlineStr">
        <is>
          <t>Terminal 3</t>
        </is>
      </c>
      <c r="I89" s="6" t="inlineStr"/>
      <c r="J89" s="6" t="n"/>
      <c r="K89" s="6" t="n"/>
      <c r="L89" s="6" t="n"/>
      <c r="M89" s="6" t="n"/>
      <c r="N89" s="6" t="n"/>
      <c r="O89" s="7" t="n"/>
      <c r="P89" s="7" t="n"/>
      <c r="Q89" s="7" t="n"/>
    </row>
    <row r="90">
      <c r="A90" s="6" t="inlineStr">
        <is>
          <t>21-06-2026</t>
        </is>
      </c>
      <c r="B90" s="6" t="inlineStr">
        <is>
          <t>VERIFY</t>
        </is>
      </c>
      <c r="C90" s="6" t="inlineStr">
        <is>
          <t>VERIFY (89)</t>
        </is>
      </c>
      <c r="D90" s="7" t="n"/>
      <c r="E90" s="6" t="n"/>
      <c r="F90" s="6" t="inlineStr"/>
      <c r="G90" s="6" t="inlineStr">
        <is>
          <t>INTERNATIONAL</t>
        </is>
      </c>
      <c r="H90" s="6" t="inlineStr">
        <is>
          <t>Terminal 3</t>
        </is>
      </c>
      <c r="I90" s="6" t="inlineStr"/>
      <c r="J90" s="6" t="n"/>
      <c r="K90" s="6" t="n"/>
      <c r="L90" s="6" t="n"/>
      <c r="M90" s="6" t="n"/>
      <c r="N90" s="6" t="n"/>
      <c r="O90" s="7" t="n"/>
      <c r="P90" s="7" t="n"/>
      <c r="Q90" s="7" t="n"/>
    </row>
    <row r="91">
      <c r="A91" s="6" t="inlineStr">
        <is>
          <t>21-06-2026</t>
        </is>
      </c>
      <c r="B91" s="6" t="inlineStr">
        <is>
          <t>VERIFY</t>
        </is>
      </c>
      <c r="C91" s="6" t="inlineStr">
        <is>
          <t>VERIFY (90)</t>
        </is>
      </c>
      <c r="D91" s="7" t="n"/>
      <c r="E91" s="6" t="n"/>
      <c r="F91" s="6" t="inlineStr"/>
      <c r="G91" s="6" t="inlineStr">
        <is>
          <t>INTERNATIONAL</t>
        </is>
      </c>
      <c r="H91" s="6" t="inlineStr">
        <is>
          <t>Terminal 3</t>
        </is>
      </c>
      <c r="I91" s="6" t="inlineStr"/>
      <c r="J91" s="6" t="n"/>
      <c r="K91" s="6" t="n"/>
      <c r="L91" s="6" t="n"/>
      <c r="M91" s="6" t="n"/>
      <c r="N91" s="6" t="n"/>
      <c r="O91" s="7" t="n"/>
      <c r="P91" s="7" t="n"/>
      <c r="Q91" s="7" t="n"/>
    </row>
    <row r="92">
      <c r="A92" s="2" t="inlineStr">
        <is>
          <t>21-06-2026</t>
        </is>
      </c>
      <c r="B92" s="2" t="inlineStr">
        <is>
          <t>TG</t>
        </is>
      </c>
      <c r="C92" s="2" t="inlineStr">
        <is>
          <t>TG 324</t>
        </is>
      </c>
      <c r="D92" s="3" t="n">
        <v>36527.48611111111</v>
      </c>
      <c r="E92" s="2" t="n">
        <v>11</v>
      </c>
      <c r="F92" s="2" t="inlineStr">
        <is>
          <t>DEL-BKK</t>
        </is>
      </c>
      <c r="G92" s="2" t="inlineStr">
        <is>
          <t>INTERNATIONAL</t>
        </is>
      </c>
      <c r="H92" s="2" t="inlineStr">
        <is>
          <t>Terminal 3</t>
        </is>
      </c>
      <c r="I92" s="2" t="inlineStr">
        <is>
          <t>BFS</t>
        </is>
      </c>
      <c r="J92" s="2" t="n">
        <v>264</v>
      </c>
      <c r="K92" s="2" t="n">
        <v>211</v>
      </c>
      <c r="L92" s="2" t="n">
        <v>63</v>
      </c>
      <c r="M92" s="2" t="n">
        <v>84</v>
      </c>
      <c r="N92" s="2" t="n">
        <v>63</v>
      </c>
      <c r="O92" s="3" t="n">
        <v>36527.31944444445</v>
      </c>
      <c r="P92" s="3" t="n">
        <v>36527.36111111111</v>
      </c>
      <c r="Q92" s="3" t="n">
        <v>36527.40277777778</v>
      </c>
    </row>
    <row r="93">
      <c r="A93" s="2" t="inlineStr">
        <is>
          <t>21-06-2026</t>
        </is>
      </c>
      <c r="B93" s="2" t="inlineStr">
        <is>
          <t>MS</t>
        </is>
      </c>
      <c r="C93" s="2" t="inlineStr">
        <is>
          <t>MS 974</t>
        </is>
      </c>
      <c r="D93" s="3" t="n">
        <v>36527.5</v>
      </c>
      <c r="E93" s="2" t="n">
        <v>12</v>
      </c>
      <c r="F93" s="2" t="inlineStr">
        <is>
          <t>DEL-CAI</t>
        </is>
      </c>
      <c r="G93" s="2" t="inlineStr">
        <is>
          <t>INTERNATIONAL</t>
        </is>
      </c>
      <c r="H93" s="2" t="inlineStr">
        <is>
          <t>Terminal 3</t>
        </is>
      </c>
      <c r="I93" s="2" t="inlineStr">
        <is>
          <t>BFS</t>
        </is>
      </c>
      <c r="J93" s="2" t="n">
        <v>142</v>
      </c>
      <c r="K93" s="2" t="n">
        <v>114</v>
      </c>
      <c r="L93" s="2" t="n">
        <v>34</v>
      </c>
      <c r="M93" s="2" t="n">
        <v>46</v>
      </c>
      <c r="N93" s="2" t="n">
        <v>34</v>
      </c>
      <c r="O93" s="3" t="n">
        <v>36527.33333333334</v>
      </c>
      <c r="P93" s="3" t="n">
        <v>36527.375</v>
      </c>
      <c r="Q93" s="3" t="n">
        <v>36527.41666666666</v>
      </c>
    </row>
    <row r="94">
      <c r="A94" s="2" t="inlineStr">
        <is>
          <t>21-06-2026</t>
        </is>
      </c>
      <c r="B94" s="2" t="inlineStr">
        <is>
          <t>AI</t>
        </is>
      </c>
      <c r="C94" s="2" t="inlineStr">
        <is>
          <t>AI 2017</t>
        </is>
      </c>
      <c r="D94" s="3" t="n">
        <v>36527.50347222222</v>
      </c>
      <c r="E94" s="2" t="n">
        <v>12</v>
      </c>
      <c r="F94" s="2" t="inlineStr">
        <is>
          <t>DEL-LHR</t>
        </is>
      </c>
      <c r="G94" s="2" t="inlineStr">
        <is>
          <t>INTERNATIONAL</t>
        </is>
      </c>
      <c r="H94" s="2" t="inlineStr">
        <is>
          <t>Terminal 3</t>
        </is>
      </c>
      <c r="I94" s="2" t="inlineStr">
        <is>
          <t>AISATS</t>
        </is>
      </c>
      <c r="J94" s="2" t="n">
        <v>316</v>
      </c>
      <c r="K94" s="2" t="n">
        <v>253</v>
      </c>
      <c r="L94" s="2" t="n">
        <v>76</v>
      </c>
      <c r="M94" s="2" t="n">
        <v>101</v>
      </c>
      <c r="N94" s="2" t="n">
        <v>76</v>
      </c>
      <c r="O94" s="3" t="n">
        <v>36527.33680555555</v>
      </c>
      <c r="P94" s="3" t="n">
        <v>36527.37847222222</v>
      </c>
      <c r="Q94" s="3" t="n">
        <v>36527.42013888889</v>
      </c>
    </row>
    <row r="95">
      <c r="A95" s="2" t="inlineStr">
        <is>
          <t>21-06-2026</t>
        </is>
      </c>
      <c r="B95" s="2" t="inlineStr">
        <is>
          <t>C6</t>
        </is>
      </c>
      <c r="C95" s="2" t="inlineStr">
        <is>
          <t>C6 558</t>
        </is>
      </c>
      <c r="D95" s="3" t="n">
        <v>36527.50694444445</v>
      </c>
      <c r="E95" s="2" t="n">
        <v>12</v>
      </c>
      <c r="F95" s="2" t="inlineStr">
        <is>
          <t>DEL-TAS</t>
        </is>
      </c>
      <c r="G95" s="2" t="inlineStr">
        <is>
          <t>INTERNATIONAL</t>
        </is>
      </c>
      <c r="H95" s="2" t="inlineStr">
        <is>
          <t>Terminal 3</t>
        </is>
      </c>
      <c r="I95" s="2" t="inlineStr">
        <is>
          <t>AISATS</t>
        </is>
      </c>
      <c r="J95" s="2" t="n">
        <v>180</v>
      </c>
      <c r="K95" s="2" t="n">
        <v>144</v>
      </c>
      <c r="L95" s="2" t="n">
        <v>43</v>
      </c>
      <c r="M95" s="2" t="n">
        <v>58</v>
      </c>
      <c r="N95" s="2" t="n">
        <v>43</v>
      </c>
      <c r="O95" s="3" t="n">
        <v>36527.34027777778</v>
      </c>
      <c r="P95" s="3" t="n">
        <v>36527.38194444445</v>
      </c>
      <c r="Q95" s="3" t="n">
        <v>36527.42361111111</v>
      </c>
    </row>
    <row r="96">
      <c r="A96" s="2" t="inlineStr">
        <is>
          <t>21-06-2026</t>
        </is>
      </c>
      <c r="B96" s="2" t="inlineStr">
        <is>
          <t>AI</t>
        </is>
      </c>
      <c r="C96" s="2" t="inlineStr">
        <is>
          <t>AI 151</t>
        </is>
      </c>
      <c r="D96" s="3" t="n">
        <v>36527.51041666666</v>
      </c>
      <c r="E96" s="2" t="n">
        <v>12</v>
      </c>
      <c r="F96" s="2" t="inlineStr">
        <is>
          <t>DEL-ZRH</t>
        </is>
      </c>
      <c r="G96" s="2" t="inlineStr">
        <is>
          <t>INTERNATIONAL</t>
        </is>
      </c>
      <c r="H96" s="2" t="inlineStr">
        <is>
          <t>Terminal 3</t>
        </is>
      </c>
      <c r="I96" s="2" t="inlineStr">
        <is>
          <t>AISATS</t>
        </is>
      </c>
      <c r="J96" s="2" t="n">
        <v>259</v>
      </c>
      <c r="K96" s="2" t="n">
        <v>207</v>
      </c>
      <c r="L96" s="2" t="n">
        <v>62</v>
      </c>
      <c r="M96" s="2" t="n">
        <v>83</v>
      </c>
      <c r="N96" s="2" t="n">
        <v>62</v>
      </c>
      <c r="O96" s="3" t="n">
        <v>36527.34375</v>
      </c>
      <c r="P96" s="3" t="n">
        <v>36527.38541666666</v>
      </c>
      <c r="Q96" s="3" t="n">
        <v>36527.42708333334</v>
      </c>
    </row>
    <row r="97">
      <c r="A97" s="2" t="inlineStr">
        <is>
          <t>21-06-2026</t>
        </is>
      </c>
      <c r="B97" s="2" t="inlineStr">
        <is>
          <t>AI</t>
        </is>
      </c>
      <c r="C97" s="2" t="inlineStr">
        <is>
          <t>AI 157</t>
        </is>
      </c>
      <c r="D97" s="3" t="n">
        <v>36527.51041666666</v>
      </c>
      <c r="E97" s="2" t="n">
        <v>12</v>
      </c>
      <c r="F97" s="2" t="inlineStr">
        <is>
          <t>DEL-CPH</t>
        </is>
      </c>
      <c r="G97" s="2" t="inlineStr">
        <is>
          <t>INTERNATIONAL</t>
        </is>
      </c>
      <c r="H97" s="2" t="inlineStr">
        <is>
          <t>Terminal 3</t>
        </is>
      </c>
      <c r="I97" s="2" t="inlineStr">
        <is>
          <t>AISATS</t>
        </is>
      </c>
      <c r="J97" s="2" t="n">
        <v>256</v>
      </c>
      <c r="K97" s="2" t="n">
        <v>205</v>
      </c>
      <c r="L97" s="2" t="n">
        <v>62</v>
      </c>
      <c r="M97" s="2" t="n">
        <v>82</v>
      </c>
      <c r="N97" s="2" t="n">
        <v>62</v>
      </c>
      <c r="O97" s="3" t="n">
        <v>36527.34375</v>
      </c>
      <c r="P97" s="3" t="n">
        <v>36527.38541666666</v>
      </c>
      <c r="Q97" s="3" t="n">
        <v>36527.42708333334</v>
      </c>
    </row>
    <row r="98">
      <c r="A98" s="2" t="inlineStr">
        <is>
          <t>21-06-2026</t>
        </is>
      </c>
      <c r="B98" s="2" t="inlineStr">
        <is>
          <t>AI</t>
        </is>
      </c>
      <c r="C98" s="2" t="inlineStr">
        <is>
          <t>AI 2029</t>
        </is>
      </c>
      <c r="D98" s="3" t="n">
        <v>36527.51388888889</v>
      </c>
      <c r="E98" s="2" t="n">
        <v>12</v>
      </c>
      <c r="F98" s="2" t="inlineStr">
        <is>
          <t>DEL-FRA</t>
        </is>
      </c>
      <c r="G98" s="2" t="inlineStr">
        <is>
          <t>INTERNATIONAL</t>
        </is>
      </c>
      <c r="H98" s="2" t="inlineStr">
        <is>
          <t>Terminal 3</t>
        </is>
      </c>
      <c r="I98" s="2" t="inlineStr">
        <is>
          <t>AISATS</t>
        </is>
      </c>
      <c r="J98" s="2" t="n">
        <v>259</v>
      </c>
      <c r="K98" s="2" t="n">
        <v>207</v>
      </c>
      <c r="L98" s="2" t="n">
        <v>62</v>
      </c>
      <c r="M98" s="2" t="n">
        <v>83</v>
      </c>
      <c r="N98" s="2" t="n">
        <v>62</v>
      </c>
      <c r="O98" s="3" t="n">
        <v>36527.34722222222</v>
      </c>
      <c r="P98" s="3" t="n">
        <v>36527.38888888889</v>
      </c>
      <c r="Q98" s="3" t="n">
        <v>36527.43055555555</v>
      </c>
    </row>
    <row r="99">
      <c r="A99" s="2" t="inlineStr">
        <is>
          <t>21-06-2026</t>
        </is>
      </c>
      <c r="B99" s="2" t="inlineStr">
        <is>
          <t>AI</t>
        </is>
      </c>
      <c r="C99" s="2" t="inlineStr">
        <is>
          <t>AI 2362</t>
        </is>
      </c>
      <c r="D99" s="3" t="n">
        <v>36527.51736111111</v>
      </c>
      <c r="E99" s="2" t="n">
        <v>12</v>
      </c>
      <c r="F99" s="2" t="inlineStr">
        <is>
          <t>DEL-MNL</t>
        </is>
      </c>
      <c r="G99" s="2" t="inlineStr">
        <is>
          <t>INTERNATIONAL</t>
        </is>
      </c>
      <c r="H99" s="2" t="inlineStr">
        <is>
          <t>Terminal 3</t>
        </is>
      </c>
      <c r="I99" s="2" t="inlineStr">
        <is>
          <t>AISATS</t>
        </is>
      </c>
      <c r="J99" s="2" t="n">
        <v>188</v>
      </c>
      <c r="K99" s="2" t="n">
        <v>150</v>
      </c>
      <c r="L99" s="2" t="n">
        <v>45</v>
      </c>
      <c r="M99" s="2" t="n">
        <v>60</v>
      </c>
      <c r="N99" s="2" t="n">
        <v>45</v>
      </c>
      <c r="O99" s="3" t="n">
        <v>36527.35069444445</v>
      </c>
      <c r="P99" s="3" t="n">
        <v>36527.39236111111</v>
      </c>
      <c r="Q99" s="3" t="n">
        <v>36527.43402777778</v>
      </c>
    </row>
    <row r="100">
      <c r="A100" s="2" t="inlineStr">
        <is>
          <t>21-06-2026</t>
        </is>
      </c>
      <c r="B100" s="2" t="inlineStr">
        <is>
          <t>KB</t>
        </is>
      </c>
      <c r="C100" s="2" t="inlineStr">
        <is>
          <t>KB 201</t>
        </is>
      </c>
      <c r="D100" s="3" t="n">
        <v>36527.52083333334</v>
      </c>
      <c r="E100" s="2" t="n">
        <v>12</v>
      </c>
      <c r="F100" s="2" t="inlineStr">
        <is>
          <t>DEL-PBH</t>
        </is>
      </c>
      <c r="G100" s="2" t="inlineStr">
        <is>
          <t>INTERNATIONAL</t>
        </is>
      </c>
      <c r="H100" s="2" t="inlineStr">
        <is>
          <t>Terminal 3</t>
        </is>
      </c>
      <c r="I100" s="2" t="inlineStr">
        <is>
          <t>BFS</t>
        </is>
      </c>
      <c r="J100" s="2" t="n">
        <v>118</v>
      </c>
      <c r="K100" s="2" t="n">
        <v>94</v>
      </c>
      <c r="L100" s="2" t="n">
        <v>28</v>
      </c>
      <c r="M100" s="2" t="n">
        <v>38</v>
      </c>
      <c r="N100" s="2" t="n">
        <v>28</v>
      </c>
      <c r="O100" s="3" t="n">
        <v>36527.35416666666</v>
      </c>
      <c r="P100" s="3" t="n">
        <v>36527.39583333334</v>
      </c>
      <c r="Q100" s="3" t="n">
        <v>36527.4375</v>
      </c>
    </row>
    <row r="101">
      <c r="A101" s="2" t="inlineStr">
        <is>
          <t>21-06-2026</t>
        </is>
      </c>
      <c r="B101" s="2" t="inlineStr">
        <is>
          <t>6E</t>
        </is>
      </c>
      <c r="C101" s="2" t="inlineStr">
        <is>
          <t>6E 1103</t>
        </is>
      </c>
      <c r="D101" s="3" t="n">
        <v>36527.52430555555</v>
      </c>
      <c r="E101" s="2" t="n">
        <v>12</v>
      </c>
      <c r="F101" s="2" t="inlineStr">
        <is>
          <t>DEL-DAC</t>
        </is>
      </c>
      <c r="G101" s="2" t="inlineStr">
        <is>
          <t>INTERNATIONAL</t>
        </is>
      </c>
      <c r="H101" s="2" t="inlineStr">
        <is>
          <t>Terminal 3</t>
        </is>
      </c>
      <c r="I101" s="2" t="inlineStr">
        <is>
          <t>IndiGo</t>
        </is>
      </c>
      <c r="J101" s="2" t="n">
        <v>232</v>
      </c>
      <c r="K101" s="2" t="n">
        <v>186</v>
      </c>
      <c r="L101" s="2" t="n">
        <v>56</v>
      </c>
      <c r="M101" s="2" t="n">
        <v>74</v>
      </c>
      <c r="N101" s="2" t="n">
        <v>56</v>
      </c>
      <c r="O101" s="3" t="n">
        <v>36527.35763888889</v>
      </c>
      <c r="P101" s="3" t="n">
        <v>36527.39930555555</v>
      </c>
      <c r="Q101" s="3" t="n">
        <v>36527.44097222222</v>
      </c>
    </row>
    <row r="102">
      <c r="A102" s="2" t="inlineStr">
        <is>
          <t>21-06-2026</t>
        </is>
      </c>
      <c r="B102" s="2" t="inlineStr">
        <is>
          <t>AI</t>
        </is>
      </c>
      <c r="C102" s="2" t="inlineStr">
        <is>
          <t>AI 281</t>
        </is>
      </c>
      <c r="D102" s="3" t="n">
        <v>36527.52777777778</v>
      </c>
      <c r="E102" s="2" t="n">
        <v>12</v>
      </c>
      <c r="F102" s="2" t="inlineStr">
        <is>
          <t>DEL-CMB</t>
        </is>
      </c>
      <c r="G102" s="2" t="inlineStr">
        <is>
          <t>INTERNATIONAL</t>
        </is>
      </c>
      <c r="H102" s="2" t="inlineStr">
        <is>
          <t>Terminal 3</t>
        </is>
      </c>
      <c r="I102" s="2" t="inlineStr">
        <is>
          <t>AISATS</t>
        </is>
      </c>
      <c r="J102" s="2" t="n">
        <v>182</v>
      </c>
      <c r="K102" s="2" t="n">
        <v>146</v>
      </c>
      <c r="L102" s="2" t="n">
        <v>44</v>
      </c>
      <c r="M102" s="2" t="n">
        <v>58</v>
      </c>
      <c r="N102" s="2" t="n">
        <v>44</v>
      </c>
      <c r="O102" s="3" t="n">
        <v>36527.36111111111</v>
      </c>
      <c r="P102" s="3" t="n">
        <v>36527.40277777778</v>
      </c>
      <c r="Q102" s="3" t="n">
        <v>36527.44444444445</v>
      </c>
    </row>
    <row r="103">
      <c r="A103" s="2" t="inlineStr">
        <is>
          <t>21-06-2026</t>
        </is>
      </c>
      <c r="B103" s="2" t="inlineStr">
        <is>
          <t>AI</t>
        </is>
      </c>
      <c r="C103" s="2" t="inlineStr">
        <is>
          <t>AI 137</t>
        </is>
      </c>
      <c r="D103" s="3" t="n">
        <v>36527.53472222222</v>
      </c>
      <c r="E103" s="2" t="n">
        <v>12</v>
      </c>
      <c r="F103" s="2" t="inlineStr">
        <is>
          <t>DEL-MXP</t>
        </is>
      </c>
      <c r="G103" s="2" t="inlineStr">
        <is>
          <t>INTERNATIONAL</t>
        </is>
      </c>
      <c r="H103" s="2" t="inlineStr">
        <is>
          <t>Terminal 3</t>
        </is>
      </c>
      <c r="I103" s="2" t="inlineStr">
        <is>
          <t>AISATS</t>
        </is>
      </c>
      <c r="J103" s="2" t="n">
        <v>259</v>
      </c>
      <c r="K103" s="2" t="n">
        <v>207</v>
      </c>
      <c r="L103" s="2" t="n">
        <v>62</v>
      </c>
      <c r="M103" s="2" t="n">
        <v>83</v>
      </c>
      <c r="N103" s="2" t="n">
        <v>62</v>
      </c>
      <c r="O103" s="3" t="n">
        <v>36527.36805555555</v>
      </c>
      <c r="P103" s="3" t="n">
        <v>36527.40972222222</v>
      </c>
      <c r="Q103" s="3" t="n">
        <v>36527.45138888889</v>
      </c>
    </row>
    <row r="104">
      <c r="A104" s="2" t="inlineStr">
        <is>
          <t>21-06-2026</t>
        </is>
      </c>
      <c r="B104" s="2" t="inlineStr">
        <is>
          <t>AI</t>
        </is>
      </c>
      <c r="C104" s="2" t="inlineStr">
        <is>
          <t>AI 2388</t>
        </is>
      </c>
      <c r="D104" s="3" t="n">
        <v>36527.54861111111</v>
      </c>
      <c r="E104" s="2" t="n">
        <v>13</v>
      </c>
      <c r="F104" s="2" t="inlineStr">
        <is>
          <t>DEL-SGN</t>
        </is>
      </c>
      <c r="G104" s="2" t="inlineStr">
        <is>
          <t>INTERNATIONAL</t>
        </is>
      </c>
      <c r="H104" s="2" t="inlineStr">
        <is>
          <t>Terminal 3</t>
        </is>
      </c>
      <c r="I104" s="2" t="inlineStr">
        <is>
          <t>AISATS</t>
        </is>
      </c>
      <c r="J104" s="2" t="n">
        <v>164</v>
      </c>
      <c r="K104" s="2" t="n">
        <v>131</v>
      </c>
      <c r="L104" s="2" t="n">
        <v>39</v>
      </c>
      <c r="M104" s="2" t="n">
        <v>52</v>
      </c>
      <c r="N104" s="2" t="n">
        <v>39</v>
      </c>
      <c r="O104" s="3" t="n">
        <v>36527.38194444445</v>
      </c>
      <c r="P104" s="3" t="n">
        <v>36527.42361111111</v>
      </c>
      <c r="Q104" s="3" t="n">
        <v>36527.46527777778</v>
      </c>
    </row>
    <row r="105">
      <c r="A105" s="2" t="inlineStr">
        <is>
          <t>21-06-2026</t>
        </is>
      </c>
      <c r="B105" s="2" t="inlineStr">
        <is>
          <t>AI</t>
        </is>
      </c>
      <c r="C105" s="2" t="inlineStr">
        <is>
          <t>AI 2376</t>
        </is>
      </c>
      <c r="D105" s="3" t="n">
        <v>36527.55902777778</v>
      </c>
      <c r="E105" s="2" t="n">
        <v>13</v>
      </c>
      <c r="F105" s="2" t="inlineStr">
        <is>
          <t>DEL-HKT</t>
        </is>
      </c>
      <c r="G105" s="2" t="inlineStr">
        <is>
          <t>INTERNATIONAL</t>
        </is>
      </c>
      <c r="H105" s="2" t="inlineStr">
        <is>
          <t>Terminal 3</t>
        </is>
      </c>
      <c r="I105" s="2" t="inlineStr">
        <is>
          <t>AISATS</t>
        </is>
      </c>
      <c r="J105" s="2" t="n">
        <v>164</v>
      </c>
      <c r="K105" s="2" t="n">
        <v>131</v>
      </c>
      <c r="L105" s="2" t="n">
        <v>39</v>
      </c>
      <c r="M105" s="2" t="n">
        <v>52</v>
      </c>
      <c r="N105" s="2" t="n">
        <v>39</v>
      </c>
      <c r="O105" s="3" t="n">
        <v>36527.39236111111</v>
      </c>
      <c r="P105" s="3" t="n">
        <v>36527.43402777778</v>
      </c>
      <c r="Q105" s="3" t="n">
        <v>36527.47569444445</v>
      </c>
    </row>
    <row r="106">
      <c r="A106" s="2" t="inlineStr">
        <is>
          <t>21-06-2026</t>
        </is>
      </c>
      <c r="B106" s="2" t="inlineStr">
        <is>
          <t>6E</t>
        </is>
      </c>
      <c r="C106" s="2" t="inlineStr">
        <is>
          <t>6E 1155</t>
        </is>
      </c>
      <c r="D106" s="3" t="n">
        <v>36527.56944444445</v>
      </c>
      <c r="E106" s="2" t="n">
        <v>13</v>
      </c>
      <c r="F106" s="2" t="inlineStr">
        <is>
          <t>DEL-KTM</t>
        </is>
      </c>
      <c r="G106" s="2" t="inlineStr">
        <is>
          <t>INTERNATIONAL</t>
        </is>
      </c>
      <c r="H106" s="2" t="inlineStr">
        <is>
          <t>Terminal 3</t>
        </is>
      </c>
      <c r="I106" s="2" t="inlineStr">
        <is>
          <t>IndiGo</t>
        </is>
      </c>
      <c r="J106" s="2" t="n">
        <v>186</v>
      </c>
      <c r="K106" s="2" t="n">
        <v>149</v>
      </c>
      <c r="L106" s="2" t="n">
        <v>45</v>
      </c>
      <c r="M106" s="2" t="n">
        <v>60</v>
      </c>
      <c r="N106" s="2" t="n">
        <v>45</v>
      </c>
      <c r="O106" s="3" t="n">
        <v>36527.40277777778</v>
      </c>
      <c r="P106" s="3" t="n">
        <v>36527.44444444445</v>
      </c>
      <c r="Q106" s="3" t="n">
        <v>36527.48611111111</v>
      </c>
    </row>
    <row r="107">
      <c r="A107" s="2" t="inlineStr">
        <is>
          <t>21-06-2026</t>
        </is>
      </c>
      <c r="B107" s="2" t="inlineStr">
        <is>
          <t>AI</t>
        </is>
      </c>
      <c r="C107" s="2" t="inlineStr">
        <is>
          <t>AI 2243</t>
        </is>
      </c>
      <c r="D107" s="3" t="n">
        <v>36527.57291666666</v>
      </c>
      <c r="E107" s="2" t="n">
        <v>13</v>
      </c>
      <c r="F107" s="2" t="inlineStr">
        <is>
          <t>DEL-RUH</t>
        </is>
      </c>
      <c r="G107" s="2" t="inlineStr">
        <is>
          <t>INTERNATIONAL</t>
        </is>
      </c>
      <c r="H107" s="2" t="inlineStr">
        <is>
          <t>Terminal 3</t>
        </is>
      </c>
      <c r="I107" s="2" t="inlineStr">
        <is>
          <t>AISATS</t>
        </is>
      </c>
      <c r="J107" s="2" t="n">
        <v>162</v>
      </c>
      <c r="K107" s="2" t="n">
        <v>130</v>
      </c>
      <c r="L107" s="2" t="n">
        <v>39</v>
      </c>
      <c r="M107" s="2" t="n">
        <v>52</v>
      </c>
      <c r="N107" s="2" t="n">
        <v>39</v>
      </c>
      <c r="O107" s="3" t="n">
        <v>36527.40625</v>
      </c>
      <c r="P107" s="3" t="n">
        <v>36527.44791666666</v>
      </c>
      <c r="Q107" s="3" t="n">
        <v>36527.48958333334</v>
      </c>
    </row>
    <row r="108">
      <c r="A108" s="2" t="inlineStr">
        <is>
          <t>21-06-2026</t>
        </is>
      </c>
      <c r="B108" s="2" t="inlineStr">
        <is>
          <t>SQ</t>
        </is>
      </c>
      <c r="C108" s="2" t="inlineStr">
        <is>
          <t>SQ 405</t>
        </is>
      </c>
      <c r="D108" s="3" t="n">
        <v>36527.59722222222</v>
      </c>
      <c r="E108" s="2" t="n">
        <v>14</v>
      </c>
      <c r="F108" s="2" t="inlineStr">
        <is>
          <t>DEL-SIN</t>
        </is>
      </c>
      <c r="G108" s="2" t="inlineStr">
        <is>
          <t>INTERNATIONAL</t>
        </is>
      </c>
      <c r="H108" s="2" t="inlineStr">
        <is>
          <t>Terminal 3</t>
        </is>
      </c>
      <c r="I108" s="2" t="inlineStr">
        <is>
          <t>AISATS</t>
        </is>
      </c>
      <c r="J108" s="2" t="n">
        <v>388</v>
      </c>
      <c r="K108" s="2" t="n">
        <v>310</v>
      </c>
      <c r="L108" s="2" t="n">
        <v>93</v>
      </c>
      <c r="M108" s="2" t="n">
        <v>124</v>
      </c>
      <c r="N108" s="2" t="n">
        <v>93</v>
      </c>
      <c r="O108" s="3" t="n">
        <v>36527.43055555555</v>
      </c>
      <c r="P108" s="3" t="n">
        <v>36527.47222222222</v>
      </c>
      <c r="Q108" s="3" t="n">
        <v>36527.51388888889</v>
      </c>
    </row>
    <row r="109">
      <c r="A109" s="2" t="inlineStr">
        <is>
          <t>21-06-2026</t>
        </is>
      </c>
      <c r="B109" s="2" t="inlineStr">
        <is>
          <t>AI</t>
        </is>
      </c>
      <c r="C109" s="2" t="inlineStr">
        <is>
          <t>AI 219</t>
        </is>
      </c>
      <c r="D109" s="3" t="n">
        <v>36527.60069444445</v>
      </c>
      <c r="E109" s="2" t="n">
        <v>14</v>
      </c>
      <c r="F109" s="2" t="inlineStr">
        <is>
          <t>DEL-KTM</t>
        </is>
      </c>
      <c r="G109" s="2" t="inlineStr">
        <is>
          <t>INTERNATIONAL</t>
        </is>
      </c>
      <c r="H109" s="2" t="inlineStr">
        <is>
          <t>Terminal 3</t>
        </is>
      </c>
      <c r="I109" s="2" t="inlineStr">
        <is>
          <t>AISATS</t>
        </is>
      </c>
      <c r="J109" s="2" t="n">
        <v>150</v>
      </c>
      <c r="K109" s="2" t="n">
        <v>120</v>
      </c>
      <c r="L109" s="2" t="n">
        <v>36</v>
      </c>
      <c r="M109" s="2" t="n">
        <v>48</v>
      </c>
      <c r="N109" s="2" t="n">
        <v>36</v>
      </c>
      <c r="O109" s="3" t="n">
        <v>36527.43402777778</v>
      </c>
      <c r="P109" s="3" t="n">
        <v>36527.47569444445</v>
      </c>
      <c r="Q109" s="3" t="n">
        <v>36527.51736111111</v>
      </c>
    </row>
    <row r="110">
      <c r="A110" s="2" t="inlineStr">
        <is>
          <t>21-06-2026</t>
        </is>
      </c>
      <c r="B110" s="2" t="inlineStr">
        <is>
          <t>6E</t>
        </is>
      </c>
      <c r="C110" s="2" t="inlineStr">
        <is>
          <t>6E 1807</t>
        </is>
      </c>
      <c r="D110" s="3" t="n">
        <v>36527.60069444445</v>
      </c>
      <c r="E110" s="2" t="n">
        <v>14</v>
      </c>
      <c r="F110" s="2" t="inlineStr">
        <is>
          <t>DEL-TBS</t>
        </is>
      </c>
      <c r="G110" s="2" t="inlineStr">
        <is>
          <t>INTERNATIONAL</t>
        </is>
      </c>
      <c r="H110" s="2" t="inlineStr">
        <is>
          <t>Terminal 3</t>
        </is>
      </c>
      <c r="I110" s="2" t="inlineStr">
        <is>
          <t>IndiGo</t>
        </is>
      </c>
      <c r="J110" s="2" t="n">
        <v>186</v>
      </c>
      <c r="K110" s="2" t="n">
        <v>149</v>
      </c>
      <c r="L110" s="2" t="n">
        <v>45</v>
      </c>
      <c r="M110" s="2" t="n">
        <v>60</v>
      </c>
      <c r="N110" s="2" t="n">
        <v>45</v>
      </c>
      <c r="O110" s="3" t="n">
        <v>36527.43402777778</v>
      </c>
      <c r="P110" s="3" t="n">
        <v>36527.47569444445</v>
      </c>
      <c r="Q110" s="3" t="n">
        <v>36527.51736111111</v>
      </c>
    </row>
    <row r="111">
      <c r="A111" s="2" t="inlineStr">
        <is>
          <t>21-06-2026</t>
        </is>
      </c>
      <c r="B111" s="2" t="inlineStr">
        <is>
          <t>AI</t>
        </is>
      </c>
      <c r="C111" s="2" t="inlineStr">
        <is>
          <t>AI 2304</t>
        </is>
      </c>
      <c r="D111" s="3" t="n">
        <v>36527.60416666666</v>
      </c>
      <c r="E111" s="2" t="n">
        <v>14</v>
      </c>
      <c r="F111" s="2" t="inlineStr">
        <is>
          <t>DEL-BKK</t>
        </is>
      </c>
      <c r="G111" s="2" t="inlineStr">
        <is>
          <t>INTERNATIONAL</t>
        </is>
      </c>
      <c r="H111" s="2" t="inlineStr">
        <is>
          <t>Terminal 3</t>
        </is>
      </c>
      <c r="I111" s="2" t="inlineStr">
        <is>
          <t>AISATS</t>
        </is>
      </c>
      <c r="J111" s="2" t="n">
        <v>164</v>
      </c>
      <c r="K111" s="2" t="n">
        <v>131</v>
      </c>
      <c r="L111" s="2" t="n">
        <v>39</v>
      </c>
      <c r="M111" s="2" t="n">
        <v>52</v>
      </c>
      <c r="N111" s="2" t="n">
        <v>39</v>
      </c>
      <c r="O111" s="3" t="n">
        <v>36527.4375</v>
      </c>
      <c r="P111" s="3" t="n">
        <v>36527.47916666666</v>
      </c>
      <c r="Q111" s="3" t="n">
        <v>36527.52083333334</v>
      </c>
    </row>
    <row r="112">
      <c r="A112" s="2" t="inlineStr">
        <is>
          <t>21-06-2026</t>
        </is>
      </c>
      <c r="B112" s="2" t="inlineStr">
        <is>
          <t>FG</t>
        </is>
      </c>
      <c r="C112" s="2" t="inlineStr">
        <is>
          <t>FG 312</t>
        </is>
      </c>
      <c r="D112" s="3" t="n">
        <v>36527.625</v>
      </c>
      <c r="E112" s="2" t="n">
        <v>15</v>
      </c>
      <c r="F112" s="2" t="inlineStr">
        <is>
          <t>DEL-KBL</t>
        </is>
      </c>
      <c r="G112" s="2" t="inlineStr">
        <is>
          <t>INTERNATIONAL</t>
        </is>
      </c>
      <c r="H112" s="2" t="inlineStr">
        <is>
          <t>Terminal 3</t>
        </is>
      </c>
      <c r="I112" s="2" t="inlineStr">
        <is>
          <t>BFS</t>
        </is>
      </c>
      <c r="J112" s="2" t="n">
        <v>230</v>
      </c>
      <c r="K112" s="2" t="n">
        <v>184</v>
      </c>
      <c r="L112" s="2" t="n">
        <v>55</v>
      </c>
      <c r="M112" s="2" t="n">
        <v>74</v>
      </c>
      <c r="N112" s="2" t="n">
        <v>55</v>
      </c>
      <c r="O112" s="3" t="n">
        <v>36527.45833333334</v>
      </c>
      <c r="P112" s="3" t="n">
        <v>36527.5</v>
      </c>
      <c r="Q112" s="3" t="n">
        <v>36527.54166666666</v>
      </c>
    </row>
    <row r="113">
      <c r="A113" s="2" t="inlineStr">
        <is>
          <t>21-06-2026</t>
        </is>
      </c>
      <c r="B113" s="2" t="inlineStr">
        <is>
          <t>RQ</t>
        </is>
      </c>
      <c r="C113" s="2" t="inlineStr">
        <is>
          <t>RQ 4402</t>
        </is>
      </c>
      <c r="D113" s="3" t="n">
        <v>36527.63194444445</v>
      </c>
      <c r="E113" s="2" t="n">
        <v>15</v>
      </c>
      <c r="F113" s="2" t="inlineStr">
        <is>
          <t>DEL-KBL</t>
        </is>
      </c>
      <c r="G113" s="2" t="inlineStr">
        <is>
          <t>INTERNATIONAL</t>
        </is>
      </c>
      <c r="H113" s="2" t="inlineStr">
        <is>
          <t>Terminal 3</t>
        </is>
      </c>
      <c r="I113" s="2" t="inlineStr">
        <is>
          <t>AISATS</t>
        </is>
      </c>
      <c r="J113" s="2" t="n">
        <v>346</v>
      </c>
      <c r="K113" s="2" t="n">
        <v>277</v>
      </c>
      <c r="L113" s="2" t="n">
        <v>83</v>
      </c>
      <c r="M113" s="2" t="n">
        <v>111</v>
      </c>
      <c r="N113" s="2" t="n">
        <v>83</v>
      </c>
      <c r="O113" s="3" t="n">
        <v>36527.46527777778</v>
      </c>
      <c r="P113" s="3" t="n">
        <v>36527.50694444445</v>
      </c>
      <c r="Q113" s="3" t="n">
        <v>36527.54861111111</v>
      </c>
    </row>
    <row r="114">
      <c r="A114" s="2" t="inlineStr">
        <is>
          <t>21-06-2026</t>
        </is>
      </c>
      <c r="B114" s="2" t="inlineStr">
        <is>
          <t>AI</t>
        </is>
      </c>
      <c r="C114" s="2" t="inlineStr">
        <is>
          <t>AI 4309</t>
        </is>
      </c>
      <c r="D114" s="3" t="n">
        <v>36527.63541666666</v>
      </c>
      <c r="E114" s="2" t="n">
        <v>15</v>
      </c>
      <c r="F114" s="2" t="inlineStr">
        <is>
          <t>DEL-DXB</t>
        </is>
      </c>
      <c r="G114" s="2" t="inlineStr">
        <is>
          <t>INTERNATIONAL</t>
        </is>
      </c>
      <c r="H114" s="2" t="inlineStr">
        <is>
          <t>Terminal 3</t>
        </is>
      </c>
      <c r="I114" s="2" t="inlineStr">
        <is>
          <t>AISATS</t>
        </is>
      </c>
      <c r="J114" s="2" t="n">
        <v>259</v>
      </c>
      <c r="K114" s="2" t="n">
        <v>207</v>
      </c>
      <c r="L114" s="2" t="n">
        <v>62</v>
      </c>
      <c r="M114" s="2" t="n">
        <v>83</v>
      </c>
      <c r="N114" s="2" t="n">
        <v>62</v>
      </c>
      <c r="O114" s="3" t="n">
        <v>36527.46875</v>
      </c>
      <c r="P114" s="3" t="n">
        <v>36527.51041666666</v>
      </c>
      <c r="Q114" s="3" t="n">
        <v>36527.55208333334</v>
      </c>
    </row>
    <row r="115">
      <c r="A115" s="2" t="inlineStr">
        <is>
          <t>21-06-2026</t>
        </is>
      </c>
      <c r="B115" s="2" t="inlineStr">
        <is>
          <t>6E</t>
        </is>
      </c>
      <c r="C115" s="2" t="inlineStr">
        <is>
          <t>6E 1081</t>
        </is>
      </c>
      <c r="D115" s="3" t="n">
        <v>36527.65277777778</v>
      </c>
      <c r="E115" s="2" t="n">
        <v>15</v>
      </c>
      <c r="F115" s="2" t="inlineStr">
        <is>
          <t>DEL-HKT</t>
        </is>
      </c>
      <c r="G115" s="2" t="inlineStr">
        <is>
          <t>INTERNATIONAL</t>
        </is>
      </c>
      <c r="H115" s="2" t="inlineStr">
        <is>
          <t>Terminal 3</t>
        </is>
      </c>
      <c r="I115" s="2" t="inlineStr">
        <is>
          <t>IndiGo</t>
        </is>
      </c>
      <c r="J115" s="2" t="n">
        <v>259</v>
      </c>
      <c r="K115" s="2" t="n">
        <v>207</v>
      </c>
      <c r="L115" s="2" t="n">
        <v>62</v>
      </c>
      <c r="M115" s="2" t="n">
        <v>83</v>
      </c>
      <c r="N115" s="2" t="n">
        <v>62</v>
      </c>
      <c r="O115" s="3" t="n">
        <v>36527.48611111111</v>
      </c>
      <c r="P115" s="3" t="n">
        <v>36527.52777777778</v>
      </c>
      <c r="Q115" s="3" t="n">
        <v>36527.56944444445</v>
      </c>
    </row>
    <row r="116">
      <c r="A116" s="2" t="inlineStr">
        <is>
          <t>21-06-2026</t>
        </is>
      </c>
      <c r="B116" s="2" t="inlineStr">
        <is>
          <t>6E</t>
        </is>
      </c>
      <c r="C116" s="2" t="inlineStr">
        <is>
          <t>6E 1053</t>
        </is>
      </c>
      <c r="D116" s="3" t="n">
        <v>36527.65625</v>
      </c>
      <c r="E116" s="2" t="n">
        <v>15</v>
      </c>
      <c r="F116" s="2" t="inlineStr">
        <is>
          <t>DEL-BKK</t>
        </is>
      </c>
      <c r="G116" s="2" t="inlineStr">
        <is>
          <t>INTERNATIONAL</t>
        </is>
      </c>
      <c r="H116" s="2" t="inlineStr">
        <is>
          <t>Terminal 3</t>
        </is>
      </c>
      <c r="I116" s="2" t="inlineStr">
        <is>
          <t>IndiGo</t>
        </is>
      </c>
      <c r="J116" s="2" t="n">
        <v>186</v>
      </c>
      <c r="K116" s="2" t="n">
        <v>149</v>
      </c>
      <c r="L116" s="2" t="n">
        <v>45</v>
      </c>
      <c r="M116" s="2" t="n">
        <v>60</v>
      </c>
      <c r="N116" s="2" t="n">
        <v>45</v>
      </c>
      <c r="O116" s="3" t="n">
        <v>36527.48958333334</v>
      </c>
      <c r="P116" s="3" t="n">
        <v>36527.53125</v>
      </c>
      <c r="Q116" s="3" t="n">
        <v>36527.57291666666</v>
      </c>
    </row>
    <row r="117">
      <c r="A117" s="2" t="inlineStr">
        <is>
          <t>21-06-2026</t>
        </is>
      </c>
      <c r="B117" s="2" t="inlineStr">
        <is>
          <t>EY</t>
        </is>
      </c>
      <c r="C117" s="2" t="inlineStr">
        <is>
          <t>EY 215</t>
        </is>
      </c>
      <c r="D117" s="3" t="n">
        <v>36527.66319444445</v>
      </c>
      <c r="E117" s="2" t="n">
        <v>15</v>
      </c>
      <c r="F117" s="2" t="inlineStr">
        <is>
          <t>DEL-AUH</t>
        </is>
      </c>
      <c r="G117" s="2" t="inlineStr">
        <is>
          <t>INTERNATIONAL</t>
        </is>
      </c>
      <c r="H117" s="2" t="inlineStr">
        <is>
          <t>Terminal 3</t>
        </is>
      </c>
      <c r="I117" s="2" t="inlineStr">
        <is>
          <t>AISATS</t>
        </is>
      </c>
      <c r="J117" s="2" t="n">
        <v>220</v>
      </c>
      <c r="K117" s="2" t="n">
        <v>176</v>
      </c>
      <c r="L117" s="2" t="n">
        <v>53</v>
      </c>
      <c r="M117" s="2" t="n">
        <v>70</v>
      </c>
      <c r="N117" s="2" t="n">
        <v>53</v>
      </c>
      <c r="O117" s="3" t="n">
        <v>36527.49652777778</v>
      </c>
      <c r="P117" s="3" t="n">
        <v>36527.53819444445</v>
      </c>
      <c r="Q117" s="3" t="n">
        <v>36527.57986111111</v>
      </c>
    </row>
    <row r="118">
      <c r="A118" s="2" t="inlineStr">
        <is>
          <t>21-06-2026</t>
        </is>
      </c>
      <c r="B118" s="2" t="inlineStr">
        <is>
          <t>6E</t>
        </is>
      </c>
      <c r="C118" s="2" t="inlineStr">
        <is>
          <t>6E 1345</t>
        </is>
      </c>
      <c r="D118" s="3" t="n">
        <v>36527.66319444445</v>
      </c>
      <c r="E118" s="2" t="n">
        <v>15</v>
      </c>
      <c r="F118" s="2" t="inlineStr">
        <is>
          <t>DEL-DOH</t>
        </is>
      </c>
      <c r="G118" s="2" t="inlineStr">
        <is>
          <t>INTERNATIONAL</t>
        </is>
      </c>
      <c r="H118" s="2" t="inlineStr">
        <is>
          <t>Terminal 3</t>
        </is>
      </c>
      <c r="I118" s="2" t="inlineStr">
        <is>
          <t>AISATS</t>
        </is>
      </c>
      <c r="J118" s="2" t="n">
        <v>158</v>
      </c>
      <c r="K118" s="2" t="n">
        <v>126</v>
      </c>
      <c r="L118" s="2" t="n">
        <v>38</v>
      </c>
      <c r="M118" s="2" t="n">
        <v>50</v>
      </c>
      <c r="N118" s="2" t="n">
        <v>38</v>
      </c>
      <c r="O118" s="3" t="n">
        <v>36527.49652777778</v>
      </c>
      <c r="P118" s="3" t="n">
        <v>36527.53819444445</v>
      </c>
      <c r="Q118" s="3" t="n">
        <v>36527.57986111111</v>
      </c>
    </row>
    <row r="119">
      <c r="A119" s="2" t="inlineStr">
        <is>
          <t>21-06-2026</t>
        </is>
      </c>
      <c r="B119" s="2" t="inlineStr">
        <is>
          <t>WY</t>
        </is>
      </c>
      <c r="C119" s="2" t="inlineStr">
        <is>
          <t>WY 246</t>
        </is>
      </c>
      <c r="D119" s="3" t="n">
        <v>36527.66666666666</v>
      </c>
      <c r="E119" s="2" t="n">
        <v>16</v>
      </c>
      <c r="F119" s="2" t="inlineStr">
        <is>
          <t>DEL-MCT</t>
        </is>
      </c>
      <c r="G119" s="2" t="inlineStr">
        <is>
          <t>INTERNATIONAL</t>
        </is>
      </c>
      <c r="H119" s="2" t="inlineStr">
        <is>
          <t>Terminal 3</t>
        </is>
      </c>
      <c r="I119" s="2" t="inlineStr">
        <is>
          <t>IndiGo</t>
        </is>
      </c>
      <c r="J119" s="2" t="n">
        <v>236</v>
      </c>
      <c r="K119" s="2" t="n">
        <v>189</v>
      </c>
      <c r="L119" s="2" t="n">
        <v>57</v>
      </c>
      <c r="M119" s="2" t="n">
        <v>76</v>
      </c>
      <c r="N119" s="2" t="n">
        <v>57</v>
      </c>
      <c r="O119" s="3" t="n">
        <v>36527.5</v>
      </c>
      <c r="P119" s="3" t="n">
        <v>36527.54166666666</v>
      </c>
      <c r="Q119" s="3" t="n">
        <v>36527.58333333334</v>
      </c>
    </row>
    <row r="120">
      <c r="A120" s="2" t="inlineStr">
        <is>
          <t>21-06-2026</t>
        </is>
      </c>
      <c r="B120" s="2" t="inlineStr">
        <is>
          <t>RA</t>
        </is>
      </c>
      <c r="C120" s="2" t="inlineStr">
        <is>
          <t>RA 218</t>
        </is>
      </c>
      <c r="D120" s="3" t="n">
        <v>36527.68055555555</v>
      </c>
      <c r="E120" s="2" t="n">
        <v>16</v>
      </c>
      <c r="F120" s="2" t="inlineStr">
        <is>
          <t>DEL-KTM</t>
        </is>
      </c>
      <c r="G120" s="2" t="inlineStr">
        <is>
          <t>INTERNATIONAL</t>
        </is>
      </c>
      <c r="H120" s="2" t="inlineStr">
        <is>
          <t>Terminal 3</t>
        </is>
      </c>
      <c r="I120" s="2" t="inlineStr">
        <is>
          <t>BFS</t>
        </is>
      </c>
      <c r="J120" s="2" t="n">
        <v>162</v>
      </c>
      <c r="K120" s="2" t="n">
        <v>130</v>
      </c>
      <c r="L120" s="2" t="n">
        <v>39</v>
      </c>
      <c r="M120" s="2" t="n">
        <v>52</v>
      </c>
      <c r="N120" s="2" t="n">
        <v>39</v>
      </c>
      <c r="O120" s="3" t="n">
        <v>36527.51388888889</v>
      </c>
      <c r="P120" s="3" t="n">
        <v>36527.55555555555</v>
      </c>
      <c r="Q120" s="3" t="n">
        <v>36527.59722222222</v>
      </c>
    </row>
    <row r="121">
      <c r="A121" s="2" t="inlineStr">
        <is>
          <t>21-06-2026</t>
        </is>
      </c>
      <c r="B121" s="2" t="inlineStr">
        <is>
          <t>EK</t>
        </is>
      </c>
      <c r="C121" s="2" t="inlineStr">
        <is>
          <t>EK 517</t>
        </is>
      </c>
      <c r="D121" s="3" t="n">
        <v>36527.68402777778</v>
      </c>
      <c r="E121" s="2" t="n">
        <v>16</v>
      </c>
      <c r="F121" s="2" t="inlineStr">
        <is>
          <t>DEL-DXB</t>
        </is>
      </c>
      <c r="G121" s="2" t="inlineStr">
        <is>
          <t>INTERNATIONAL</t>
        </is>
      </c>
      <c r="H121" s="2" t="inlineStr">
        <is>
          <t>Terminal 3</t>
        </is>
      </c>
      <c r="I121" s="2" t="inlineStr">
        <is>
          <t>BFS</t>
        </is>
      </c>
      <c r="J121" s="2" t="n">
        <v>274</v>
      </c>
      <c r="K121" s="2" t="n">
        <v>219</v>
      </c>
      <c r="L121" s="2" t="n">
        <v>66</v>
      </c>
      <c r="M121" s="2" t="n">
        <v>88</v>
      </c>
      <c r="N121" s="2" t="n">
        <v>66</v>
      </c>
      <c r="O121" s="3" t="n">
        <v>36527.51736111111</v>
      </c>
      <c r="P121" s="3" t="n">
        <v>36527.55902777778</v>
      </c>
      <c r="Q121" s="3" t="n">
        <v>36527.60069444445</v>
      </c>
    </row>
    <row r="122">
      <c r="A122" s="2" t="inlineStr">
        <is>
          <t>21-06-2026</t>
        </is>
      </c>
      <c r="B122" s="2" t="inlineStr">
        <is>
          <t>IA</t>
        </is>
      </c>
      <c r="C122" s="2" t="inlineStr">
        <is>
          <t>IA 444</t>
        </is>
      </c>
      <c r="D122" s="3" t="n">
        <v>36527.6875</v>
      </c>
      <c r="E122" s="2" t="n">
        <v>16</v>
      </c>
      <c r="F122" s="2" t="inlineStr">
        <is>
          <t>DEL-BGW</t>
        </is>
      </c>
      <c r="G122" s="2" t="inlineStr">
        <is>
          <t>INTERNATIONAL</t>
        </is>
      </c>
      <c r="H122" s="2" t="inlineStr">
        <is>
          <t>Terminal 3</t>
        </is>
      </c>
      <c r="I122" s="2" t="inlineStr">
        <is>
          <t>AISATS</t>
        </is>
      </c>
      <c r="J122" s="2" t="n">
        <v>360</v>
      </c>
      <c r="K122" s="2" t="n">
        <v>288</v>
      </c>
      <c r="L122" s="2" t="n">
        <v>86</v>
      </c>
      <c r="M122" s="2" t="n">
        <v>115</v>
      </c>
      <c r="N122" s="2" t="n">
        <v>86</v>
      </c>
      <c r="O122" s="3" t="n">
        <v>36527.52083333334</v>
      </c>
      <c r="P122" s="3" t="n">
        <v>36527.5625</v>
      </c>
      <c r="Q122" s="3" t="n">
        <v>36527.60416666666</v>
      </c>
    </row>
    <row r="123">
      <c r="A123" s="2" t="inlineStr">
        <is>
          <t>21-06-2026</t>
        </is>
      </c>
      <c r="B123" s="2" t="inlineStr">
        <is>
          <t>AI</t>
        </is>
      </c>
      <c r="C123" s="2" t="inlineStr">
        <is>
          <t>AI 2255</t>
        </is>
      </c>
      <c r="D123" s="3" t="n">
        <v>36527.72569444445</v>
      </c>
      <c r="E123" s="2" t="n">
        <v>17</v>
      </c>
      <c r="F123" s="2" t="inlineStr">
        <is>
          <t>DEL-JED</t>
        </is>
      </c>
      <c r="G123" s="2" t="inlineStr">
        <is>
          <t>INTERNATIONAL</t>
        </is>
      </c>
      <c r="H123" s="2" t="inlineStr">
        <is>
          <t>Terminal 3</t>
        </is>
      </c>
      <c r="I123" s="2" t="inlineStr">
        <is>
          <t>AISATS</t>
        </is>
      </c>
      <c r="J123" s="2" t="n">
        <v>362</v>
      </c>
      <c r="K123" s="2" t="n">
        <v>290</v>
      </c>
      <c r="L123" s="2" t="n">
        <v>87</v>
      </c>
      <c r="M123" s="2" t="n">
        <v>116</v>
      </c>
      <c r="N123" s="2" t="n">
        <v>87</v>
      </c>
      <c r="O123" s="3" t="n">
        <v>36527.55902777778</v>
      </c>
      <c r="P123" s="3" t="n">
        <v>36527.60069444445</v>
      </c>
      <c r="Q123" s="3" t="n">
        <v>36527.64236111111</v>
      </c>
    </row>
    <row r="124">
      <c r="A124" s="2" t="inlineStr">
        <is>
          <t>21-06-2026</t>
        </is>
      </c>
      <c r="B124" s="2" t="inlineStr">
        <is>
          <t>6E</t>
        </is>
      </c>
      <c r="C124" s="2" t="inlineStr">
        <is>
          <t>6E 1161</t>
        </is>
      </c>
      <c r="D124" s="3" t="n">
        <v>36527.74305555555</v>
      </c>
      <c r="E124" s="2" t="n">
        <v>17</v>
      </c>
      <c r="F124" s="2" t="inlineStr">
        <is>
          <t>DEL-KTM</t>
        </is>
      </c>
      <c r="G124" s="2" t="inlineStr">
        <is>
          <t>INTERNATIONAL</t>
        </is>
      </c>
      <c r="H124" s="2" t="inlineStr">
        <is>
          <t>Terminal 3</t>
        </is>
      </c>
      <c r="I124" s="2" t="inlineStr">
        <is>
          <t>IndiGo</t>
        </is>
      </c>
      <c r="J124" s="2" t="n">
        <v>164</v>
      </c>
      <c r="K124" s="2" t="n">
        <v>131</v>
      </c>
      <c r="L124" s="2" t="n">
        <v>39</v>
      </c>
      <c r="M124" s="2" t="n">
        <v>52</v>
      </c>
      <c r="N124" s="2" t="n">
        <v>39</v>
      </c>
      <c r="O124" s="3" t="n">
        <v>36527.57638888889</v>
      </c>
      <c r="P124" s="3" t="n">
        <v>36527.61805555555</v>
      </c>
      <c r="Q124" s="3" t="n">
        <v>36527.65972222222</v>
      </c>
    </row>
    <row r="125">
      <c r="A125" s="2" t="inlineStr">
        <is>
          <t>21-06-2026</t>
        </is>
      </c>
      <c r="B125" s="2" t="inlineStr">
        <is>
          <t>B4</t>
        </is>
      </c>
      <c r="C125" s="2" t="inlineStr">
        <is>
          <t>B4 443</t>
        </is>
      </c>
      <c r="D125" s="3" t="n">
        <v>36527.74652777778</v>
      </c>
      <c r="E125" s="2" t="n">
        <v>17</v>
      </c>
      <c r="F125" s="2" t="inlineStr">
        <is>
          <t>DEL-MLE</t>
        </is>
      </c>
      <c r="G125" s="2" t="inlineStr">
        <is>
          <t>INTERNATIONAL</t>
        </is>
      </c>
      <c r="H125" s="2" t="inlineStr">
        <is>
          <t>Terminal 3</t>
        </is>
      </c>
      <c r="I125" s="2" t="inlineStr">
        <is>
          <t>IndiGo</t>
        </is>
      </c>
      <c r="J125" s="2" t="n">
        <v>186</v>
      </c>
      <c r="K125" s="2" t="n">
        <v>149</v>
      </c>
      <c r="L125" s="2" t="n">
        <v>45</v>
      </c>
      <c r="M125" s="2" t="n">
        <v>60</v>
      </c>
      <c r="N125" s="2" t="n">
        <v>45</v>
      </c>
      <c r="O125" s="3" t="n">
        <v>36527.57986111111</v>
      </c>
      <c r="P125" s="3" t="n">
        <v>36527.62152777778</v>
      </c>
      <c r="Q125" s="3" t="n">
        <v>36527.66319444445</v>
      </c>
    </row>
    <row r="126">
      <c r="A126" s="2" t="inlineStr">
        <is>
          <t>21-06-2026</t>
        </is>
      </c>
      <c r="B126" s="2" t="inlineStr">
        <is>
          <t>NH</t>
        </is>
      </c>
      <c r="C126" s="2" t="inlineStr">
        <is>
          <t>NH 838</t>
        </is>
      </c>
      <c r="D126" s="3" t="n">
        <v>36527.75</v>
      </c>
      <c r="E126" s="2" t="n">
        <v>18</v>
      </c>
      <c r="F126" s="2" t="inlineStr">
        <is>
          <t>DEL-HND</t>
        </is>
      </c>
      <c r="G126" s="2" t="inlineStr">
        <is>
          <t>INTERNATIONAL</t>
        </is>
      </c>
      <c r="H126" s="2" t="inlineStr">
        <is>
          <t>Terminal 3</t>
        </is>
      </c>
      <c r="I126" s="2" t="inlineStr">
        <is>
          <t>AISATS</t>
        </is>
      </c>
      <c r="J126" s="2" t="n">
        <v>246</v>
      </c>
      <c r="K126" s="2" t="n">
        <v>197</v>
      </c>
      <c r="L126" s="2" t="n">
        <v>59</v>
      </c>
      <c r="M126" s="2" t="n">
        <v>79</v>
      </c>
      <c r="N126" s="2" t="n">
        <v>59</v>
      </c>
      <c r="O126" s="3" t="n">
        <v>36527.58333333334</v>
      </c>
      <c r="P126" s="3" t="n">
        <v>36527.625</v>
      </c>
      <c r="Q126" s="3" t="n">
        <v>36527.66666666666</v>
      </c>
    </row>
    <row r="127">
      <c r="A127" s="2" t="inlineStr">
        <is>
          <t>21-06-2026</t>
        </is>
      </c>
      <c r="B127" s="2" t="inlineStr">
        <is>
          <t>AI</t>
        </is>
      </c>
      <c r="C127" s="2" t="inlineStr">
        <is>
          <t>AI 358</t>
        </is>
      </c>
      <c r="D127" s="3" t="n">
        <v>36527.75694444445</v>
      </c>
      <c r="E127" s="2" t="n">
        <v>18</v>
      </c>
      <c r="F127" s="2" t="inlineStr">
        <is>
          <t>DEL-HND</t>
        </is>
      </c>
      <c r="G127" s="2" t="inlineStr">
        <is>
          <t>INTERNATIONAL</t>
        </is>
      </c>
      <c r="H127" s="2" t="inlineStr">
        <is>
          <t>Terminal 3</t>
        </is>
      </c>
      <c r="I127" s="2" t="inlineStr">
        <is>
          <t>AISATS</t>
        </is>
      </c>
      <c r="J127" s="2" t="n">
        <v>246</v>
      </c>
      <c r="K127" s="2" t="n">
        <v>197</v>
      </c>
      <c r="L127" s="2" t="n">
        <v>59</v>
      </c>
      <c r="M127" s="2" t="n">
        <v>79</v>
      </c>
      <c r="N127" s="2" t="n">
        <v>59</v>
      </c>
      <c r="O127" s="3" t="n">
        <v>36527.59027777778</v>
      </c>
      <c r="P127" s="3" t="n">
        <v>36527.63194444445</v>
      </c>
      <c r="Q127" s="3" t="n">
        <v>36527.67361111111</v>
      </c>
    </row>
    <row r="128">
      <c r="A128" s="2" t="inlineStr">
        <is>
          <t>21-06-2026</t>
        </is>
      </c>
      <c r="B128" s="2" t="inlineStr">
        <is>
          <t>IX</t>
        </is>
      </c>
      <c r="C128" s="2" t="inlineStr">
        <is>
          <t>IX 163</t>
        </is>
      </c>
      <c r="D128" s="3" t="n">
        <v>36527.76736111111</v>
      </c>
      <c r="E128" s="2" t="n">
        <v>18</v>
      </c>
      <c r="F128" s="2" t="inlineStr">
        <is>
          <t>DEL-MCT</t>
        </is>
      </c>
      <c r="G128" s="2" t="inlineStr">
        <is>
          <t>INTERNATIONAL</t>
        </is>
      </c>
      <c r="H128" s="2" t="inlineStr">
        <is>
          <t>Terminal 3</t>
        </is>
      </c>
      <c r="I128" s="2" t="inlineStr">
        <is>
          <t>AISATS</t>
        </is>
      </c>
      <c r="J128" s="2" t="n">
        <v>180</v>
      </c>
      <c r="K128" s="2" t="n">
        <v>144</v>
      </c>
      <c r="L128" s="2" t="n">
        <v>43</v>
      </c>
      <c r="M128" s="2" t="n">
        <v>58</v>
      </c>
      <c r="N128" s="2" t="n">
        <v>43</v>
      </c>
      <c r="O128" s="3" t="n">
        <v>36527.60069444445</v>
      </c>
      <c r="P128" s="3" t="n">
        <v>36527.64236111111</v>
      </c>
      <c r="Q128" s="3" t="n">
        <v>36527.68402777778</v>
      </c>
    </row>
    <row r="129">
      <c r="A129" s="2" t="inlineStr">
        <is>
          <t>21-06-2026</t>
        </is>
      </c>
      <c r="B129" s="2" t="inlineStr">
        <is>
          <t>6E</t>
        </is>
      </c>
      <c r="C129" s="2" t="inlineStr">
        <is>
          <t>6E 1169</t>
        </is>
      </c>
      <c r="D129" s="3" t="n">
        <v>36527.76736111111</v>
      </c>
      <c r="E129" s="2" t="n">
        <v>18</v>
      </c>
      <c r="F129" s="2" t="inlineStr">
        <is>
          <t>DEL-CMB</t>
        </is>
      </c>
      <c r="G129" s="2" t="inlineStr">
        <is>
          <t>INTERNATIONAL</t>
        </is>
      </c>
      <c r="H129" s="2" t="inlineStr">
        <is>
          <t>Terminal 3</t>
        </is>
      </c>
      <c r="I129" s="2" t="inlineStr">
        <is>
          <t>IndiGo</t>
        </is>
      </c>
      <c r="J129" s="2" t="n">
        <v>186</v>
      </c>
      <c r="K129" s="2" t="n">
        <v>149</v>
      </c>
      <c r="L129" s="2" t="n">
        <v>45</v>
      </c>
      <c r="M129" s="2" t="n">
        <v>60</v>
      </c>
      <c r="N129" s="2" t="n">
        <v>45</v>
      </c>
      <c r="O129" s="3" t="n">
        <v>36527.60069444445</v>
      </c>
      <c r="P129" s="3" t="n">
        <v>36527.64236111111</v>
      </c>
      <c r="Q129" s="3" t="n">
        <v>36527.68402777778</v>
      </c>
    </row>
    <row r="130">
      <c r="A130" s="2" t="inlineStr">
        <is>
          <t>21-06-2026</t>
        </is>
      </c>
      <c r="B130" s="2" t="inlineStr">
        <is>
          <t>G9</t>
        </is>
      </c>
      <c r="C130" s="2" t="inlineStr">
        <is>
          <t>G9 466</t>
        </is>
      </c>
      <c r="D130" s="3" t="n">
        <v>36527.77430555555</v>
      </c>
      <c r="E130" s="2" t="n">
        <v>18</v>
      </c>
      <c r="F130" s="2" t="inlineStr">
        <is>
          <t>DEL-SHJ</t>
        </is>
      </c>
      <c r="G130" s="2" t="inlineStr">
        <is>
          <t>INTERNATIONAL</t>
        </is>
      </c>
      <c r="H130" s="2" t="inlineStr">
        <is>
          <t>Terminal 3</t>
        </is>
      </c>
      <c r="I130" s="2" t="inlineStr">
        <is>
          <t>BFS</t>
        </is>
      </c>
      <c r="J130" s="2" t="n">
        <v>168</v>
      </c>
      <c r="K130" s="2" t="n">
        <v>134</v>
      </c>
      <c r="L130" s="2" t="n">
        <v>40</v>
      </c>
      <c r="M130" s="2" t="n">
        <v>54</v>
      </c>
      <c r="N130" s="2" t="n">
        <v>40</v>
      </c>
      <c r="O130" s="3" t="n">
        <v>36527.60763888889</v>
      </c>
      <c r="P130" s="3" t="n">
        <v>36527.64930555555</v>
      </c>
      <c r="Q130" s="3" t="n">
        <v>36527.69097222222</v>
      </c>
    </row>
    <row r="131">
      <c r="A131" s="2" t="inlineStr">
        <is>
          <t>21-06-2026</t>
        </is>
      </c>
      <c r="B131" s="2" t="inlineStr">
        <is>
          <t>AI</t>
        </is>
      </c>
      <c r="C131" s="2" t="inlineStr">
        <is>
          <t>AI 2283</t>
        </is>
      </c>
      <c r="D131" s="3" t="n">
        <v>36527.77777777778</v>
      </c>
      <c r="E131" s="2" t="n">
        <v>18</v>
      </c>
      <c r="F131" s="2" t="inlineStr">
        <is>
          <t>DEL-DOH</t>
        </is>
      </c>
      <c r="G131" s="2" t="inlineStr">
        <is>
          <t>INTERNATIONAL</t>
        </is>
      </c>
      <c r="H131" s="2" t="inlineStr">
        <is>
          <t>Terminal 3</t>
        </is>
      </c>
      <c r="I131" s="2" t="inlineStr">
        <is>
          <t>AISATS</t>
        </is>
      </c>
      <c r="J131" s="2" t="n">
        <v>164</v>
      </c>
      <c r="K131" s="2" t="n">
        <v>131</v>
      </c>
      <c r="L131" s="2" t="n">
        <v>39</v>
      </c>
      <c r="M131" s="2" t="n">
        <v>52</v>
      </c>
      <c r="N131" s="2" t="n">
        <v>39</v>
      </c>
      <c r="O131" s="3" t="n">
        <v>36527.61111111111</v>
      </c>
      <c r="P131" s="3" t="n">
        <v>36527.65277777778</v>
      </c>
      <c r="Q131" s="3" t="n">
        <v>36527.69444444445</v>
      </c>
    </row>
    <row r="132">
      <c r="A132" s="2" t="inlineStr">
        <is>
          <t>21-06-2026</t>
        </is>
      </c>
      <c r="B132" s="2" t="inlineStr">
        <is>
          <t>UL</t>
        </is>
      </c>
      <c r="C132" s="2" t="inlineStr">
        <is>
          <t>UL 196</t>
        </is>
      </c>
      <c r="D132" s="3" t="n">
        <v>36527.78125</v>
      </c>
      <c r="E132" s="2" t="n">
        <v>18</v>
      </c>
      <c r="F132" s="2" t="inlineStr">
        <is>
          <t>DEL-CMB</t>
        </is>
      </c>
      <c r="G132" s="2" t="inlineStr">
        <is>
          <t>INTERNATIONAL</t>
        </is>
      </c>
      <c r="H132" s="2" t="inlineStr">
        <is>
          <t>Terminal 3</t>
        </is>
      </c>
      <c r="I132" s="2" t="inlineStr">
        <is>
          <t>BFS</t>
        </is>
      </c>
      <c r="J132" s="2" t="n">
        <v>188</v>
      </c>
      <c r="K132" s="2" t="n">
        <v>150</v>
      </c>
      <c r="L132" s="2" t="n">
        <v>45</v>
      </c>
      <c r="M132" s="2" t="n">
        <v>60</v>
      </c>
      <c r="N132" s="2" t="n">
        <v>45</v>
      </c>
      <c r="O132" s="3" t="n">
        <v>36527.61458333334</v>
      </c>
      <c r="P132" s="3" t="n">
        <v>36527.65625</v>
      </c>
      <c r="Q132" s="3" t="n">
        <v>36527.69791666666</v>
      </c>
    </row>
    <row r="133">
      <c r="A133" s="2" t="inlineStr">
        <is>
          <t>21-06-2026</t>
        </is>
      </c>
      <c r="B133" s="2" t="inlineStr">
        <is>
          <t>SG</t>
        </is>
      </c>
      <c r="C133" s="2" t="inlineStr">
        <is>
          <t>SG 5105</t>
        </is>
      </c>
      <c r="D133" s="3" t="n">
        <v>36527.78125</v>
      </c>
      <c r="E133" s="2" t="n">
        <v>18</v>
      </c>
      <c r="F133" s="2" t="inlineStr">
        <is>
          <t>DEL-DXB</t>
        </is>
      </c>
      <c r="G133" s="2" t="inlineStr">
        <is>
          <t>INTERNATIONAL</t>
        </is>
      </c>
      <c r="H133" s="2" t="inlineStr">
        <is>
          <t>Terminal 3</t>
        </is>
      </c>
      <c r="I133" s="2" t="inlineStr">
        <is>
          <t>BFS</t>
        </is>
      </c>
      <c r="J133" s="2" t="n">
        <v>189</v>
      </c>
      <c r="K133" s="2" t="n">
        <v>151</v>
      </c>
      <c r="L133" s="2" t="n">
        <v>45</v>
      </c>
      <c r="M133" s="2" t="n">
        <v>60</v>
      </c>
      <c r="N133" s="2" t="n">
        <v>45</v>
      </c>
      <c r="O133" s="3" t="n">
        <v>36527.61458333334</v>
      </c>
      <c r="P133" s="3" t="n">
        <v>36527.65625</v>
      </c>
      <c r="Q133" s="3" t="n">
        <v>36527.69791666666</v>
      </c>
    </row>
    <row r="134">
      <c r="A134" s="2" t="inlineStr">
        <is>
          <t>21-06-2026</t>
        </is>
      </c>
      <c r="B134" s="2" t="inlineStr">
        <is>
          <t>KE</t>
        </is>
      </c>
      <c r="C134" s="2" t="inlineStr">
        <is>
          <t>KE 498</t>
        </is>
      </c>
      <c r="D134" s="3" t="n">
        <v>36527.78472222222</v>
      </c>
      <c r="E134" s="2" t="n">
        <v>18</v>
      </c>
      <c r="F134" s="2" t="inlineStr">
        <is>
          <t>DEL-ICN</t>
        </is>
      </c>
      <c r="G134" s="2" t="inlineStr">
        <is>
          <t>INTERNATIONAL</t>
        </is>
      </c>
      <c r="H134" s="2" t="inlineStr">
        <is>
          <t>Terminal 3</t>
        </is>
      </c>
      <c r="I134" s="2" t="inlineStr">
        <is>
          <t>BFS</t>
        </is>
      </c>
      <c r="J134" s="2" t="n">
        <v>278</v>
      </c>
      <c r="K134" s="2" t="n">
        <v>222</v>
      </c>
      <c r="L134" s="2" t="n">
        <v>67</v>
      </c>
      <c r="M134" s="2" t="n">
        <v>89</v>
      </c>
      <c r="N134" s="2" t="n">
        <v>67</v>
      </c>
      <c r="O134" s="3" t="n">
        <v>36527.61805555555</v>
      </c>
      <c r="P134" s="3" t="n">
        <v>36527.65972222222</v>
      </c>
      <c r="Q134" s="3" t="n">
        <v>36527.70138888889</v>
      </c>
    </row>
    <row r="135">
      <c r="A135" s="2" t="inlineStr">
        <is>
          <t>21-06-2026</t>
        </is>
      </c>
      <c r="B135" s="2" t="inlineStr">
        <is>
          <t>JL</t>
        </is>
      </c>
      <c r="C135" s="2" t="inlineStr">
        <is>
          <t>JL 030</t>
        </is>
      </c>
      <c r="D135" s="3" t="n">
        <v>36527.79513888889</v>
      </c>
      <c r="E135" s="2" t="n">
        <v>19</v>
      </c>
      <c r="F135" s="2" t="inlineStr">
        <is>
          <t>DEL-HND</t>
        </is>
      </c>
      <c r="G135" s="2" t="inlineStr">
        <is>
          <t>INTERNATIONAL</t>
        </is>
      </c>
      <c r="H135" s="2" t="inlineStr">
        <is>
          <t>Terminal 3</t>
        </is>
      </c>
      <c r="I135" s="2" t="inlineStr">
        <is>
          <t>BFS</t>
        </is>
      </c>
      <c r="J135" s="2" t="n">
        <v>239</v>
      </c>
      <c r="K135" s="2" t="n">
        <v>191</v>
      </c>
      <c r="L135" s="2" t="n">
        <v>57</v>
      </c>
      <c r="M135" s="2" t="n">
        <v>76</v>
      </c>
      <c r="N135" s="2" t="n">
        <v>57</v>
      </c>
      <c r="O135" s="3" t="n">
        <v>36527.62847222222</v>
      </c>
      <c r="P135" s="3" t="n">
        <v>36527.67013888889</v>
      </c>
      <c r="Q135" s="3" t="n">
        <v>36527.71180555555</v>
      </c>
    </row>
    <row r="136">
      <c r="A136" s="2" t="inlineStr">
        <is>
          <t>21-06-2026</t>
        </is>
      </c>
      <c r="B136" s="2" t="inlineStr">
        <is>
          <t>6E</t>
        </is>
      </c>
      <c r="C136" s="2" t="inlineStr">
        <is>
          <t>6E 1463</t>
        </is>
      </c>
      <c r="D136" s="3" t="n">
        <v>36527.79861111111</v>
      </c>
      <c r="E136" s="2" t="n">
        <v>19</v>
      </c>
      <c r="F136" s="2" t="inlineStr">
        <is>
          <t>DEL-DXB</t>
        </is>
      </c>
      <c r="G136" s="2" t="inlineStr">
        <is>
          <t>INTERNATIONAL</t>
        </is>
      </c>
      <c r="H136" s="2" t="inlineStr">
        <is>
          <t>Terminal 3</t>
        </is>
      </c>
      <c r="I136" s="2" t="inlineStr">
        <is>
          <t>IndiGo</t>
        </is>
      </c>
      <c r="J136" s="2" t="n">
        <v>220</v>
      </c>
      <c r="K136" s="2" t="n">
        <v>176</v>
      </c>
      <c r="L136" s="2" t="n">
        <v>53</v>
      </c>
      <c r="M136" s="2" t="n">
        <v>70</v>
      </c>
      <c r="N136" s="2" t="n">
        <v>53</v>
      </c>
      <c r="O136" s="3" t="n">
        <v>36527.63194444445</v>
      </c>
      <c r="P136" s="3" t="n">
        <v>36527.67361111111</v>
      </c>
      <c r="Q136" s="3" t="n">
        <v>36527.71527777778</v>
      </c>
    </row>
    <row r="137">
      <c r="A137" s="2" t="inlineStr">
        <is>
          <t>21-06-2026</t>
        </is>
      </c>
      <c r="B137" s="2" t="inlineStr">
        <is>
          <t>SV</t>
        </is>
      </c>
      <c r="C137" s="2" t="inlineStr">
        <is>
          <t>SV 9651</t>
        </is>
      </c>
      <c r="D137" s="3" t="n">
        <v>36527.82638888889</v>
      </c>
      <c r="E137" s="2" t="n">
        <v>19</v>
      </c>
      <c r="F137" s="2" t="inlineStr">
        <is>
          <t>DEL-MED</t>
        </is>
      </c>
      <c r="G137" s="2" t="inlineStr">
        <is>
          <t>INTERNATIONAL</t>
        </is>
      </c>
      <c r="H137" s="2" t="inlineStr">
        <is>
          <t>Terminal 3</t>
        </is>
      </c>
      <c r="I137" s="2" t="inlineStr">
        <is>
          <t>AISATS</t>
        </is>
      </c>
      <c r="J137" s="2" t="n">
        <v>326</v>
      </c>
      <c r="K137" s="2" t="n">
        <v>261</v>
      </c>
      <c r="L137" s="2" t="n">
        <v>78</v>
      </c>
      <c r="M137" s="2" t="n">
        <v>104</v>
      </c>
      <c r="N137" s="2" t="n">
        <v>78</v>
      </c>
      <c r="O137" s="3" t="n">
        <v>36527.65972222222</v>
      </c>
      <c r="P137" s="3" t="n">
        <v>36527.70138888889</v>
      </c>
      <c r="Q137" s="3" t="n">
        <v>36527.74305555555</v>
      </c>
    </row>
    <row r="138">
      <c r="A138" s="2" t="inlineStr">
        <is>
          <t>21-06-2026</t>
        </is>
      </c>
      <c r="B138" s="2" t="inlineStr">
        <is>
          <t>MU</t>
        </is>
      </c>
      <c r="C138" s="2" t="inlineStr">
        <is>
          <t>MU 564</t>
        </is>
      </c>
      <c r="D138" s="3" t="n">
        <v>36527.82986111111</v>
      </c>
      <c r="E138" s="2" t="n">
        <v>19</v>
      </c>
      <c r="F138" s="2" t="inlineStr">
        <is>
          <t>DEL-PVG</t>
        </is>
      </c>
      <c r="G138" s="2" t="inlineStr">
        <is>
          <t>INTERNATIONAL</t>
        </is>
      </c>
      <c r="H138" s="2" t="inlineStr">
        <is>
          <t>Terminal 3</t>
        </is>
      </c>
      <c r="I138" s="2" t="inlineStr">
        <is>
          <t>BFS</t>
        </is>
      </c>
      <c r="J138" s="2" t="n">
        <v>262</v>
      </c>
      <c r="K138" s="2" t="n">
        <v>210</v>
      </c>
      <c r="L138" s="2" t="n">
        <v>63</v>
      </c>
      <c r="M138" s="2" t="n">
        <v>84</v>
      </c>
      <c r="N138" s="2" t="n">
        <v>63</v>
      </c>
      <c r="O138" s="3" t="n">
        <v>36527.66319444445</v>
      </c>
      <c r="P138" s="3" t="n">
        <v>36527.70486111111</v>
      </c>
      <c r="Q138" s="3" t="n">
        <v>36527.74652777778</v>
      </c>
    </row>
    <row r="139">
      <c r="A139" s="2" t="inlineStr">
        <is>
          <t>21-06-2026</t>
        </is>
      </c>
      <c r="B139" s="2" t="inlineStr">
        <is>
          <t>6E</t>
        </is>
      </c>
      <c r="C139" s="2" t="inlineStr">
        <is>
          <t>6E 063</t>
        </is>
      </c>
      <c r="D139" s="3" t="n">
        <v>36527.84375</v>
      </c>
      <c r="E139" s="2" t="n">
        <v>20</v>
      </c>
      <c r="F139" s="2" t="inlineStr">
        <is>
          <t>DEL-KWI</t>
        </is>
      </c>
      <c r="G139" s="2" t="inlineStr">
        <is>
          <t>INTERNATIONAL</t>
        </is>
      </c>
      <c r="H139" s="2" t="inlineStr">
        <is>
          <t>Terminal 3</t>
        </is>
      </c>
      <c r="I139" s="2" t="inlineStr">
        <is>
          <t>IndiGo</t>
        </is>
      </c>
      <c r="J139" s="2" t="n">
        <v>186</v>
      </c>
      <c r="K139" s="2" t="n">
        <v>149</v>
      </c>
      <c r="L139" s="2" t="n">
        <v>45</v>
      </c>
      <c r="M139" s="2" t="n">
        <v>60</v>
      </c>
      <c r="N139" s="2" t="n">
        <v>45</v>
      </c>
      <c r="O139" s="3" t="n">
        <v>36527.67708333334</v>
      </c>
      <c r="P139" s="3" t="n">
        <v>36527.71875</v>
      </c>
      <c r="Q139" s="3" t="n">
        <v>36527.76041666666</v>
      </c>
    </row>
    <row r="140">
      <c r="A140" s="2" t="inlineStr">
        <is>
          <t>21-06-2026</t>
        </is>
      </c>
      <c r="B140" s="2" t="inlineStr">
        <is>
          <t>6E</t>
        </is>
      </c>
      <c r="C140" s="2" t="inlineStr">
        <is>
          <t>6E 083</t>
        </is>
      </c>
      <c r="D140" s="3" t="n">
        <v>36527.84722222222</v>
      </c>
      <c r="E140" s="2" t="n">
        <v>20</v>
      </c>
      <c r="F140" s="2" t="inlineStr">
        <is>
          <t>DEL-CAN</t>
        </is>
      </c>
      <c r="G140" s="2" t="inlineStr">
        <is>
          <t>INTERNATIONAL</t>
        </is>
      </c>
      <c r="H140" s="2" t="inlineStr">
        <is>
          <t>Terminal 3</t>
        </is>
      </c>
      <c r="I140" s="2" t="inlineStr">
        <is>
          <t>IndiGo</t>
        </is>
      </c>
      <c r="J140" s="2" t="n">
        <v>186</v>
      </c>
      <c r="K140" s="2" t="n">
        <v>149</v>
      </c>
      <c r="L140" s="2" t="n">
        <v>45</v>
      </c>
      <c r="M140" s="2" t="n">
        <v>60</v>
      </c>
      <c r="N140" s="2" t="n">
        <v>45</v>
      </c>
      <c r="O140" s="3" t="n">
        <v>36527.68055555555</v>
      </c>
      <c r="P140" s="3" t="n">
        <v>36527.72222222222</v>
      </c>
      <c r="Q140" s="3" t="n">
        <v>36527.76388888889</v>
      </c>
    </row>
    <row r="141">
      <c r="A141" s="2" t="inlineStr">
        <is>
          <t>21-06-2026</t>
        </is>
      </c>
      <c r="B141" s="2" t="inlineStr">
        <is>
          <t>AI</t>
        </is>
      </c>
      <c r="C141" s="2" t="inlineStr">
        <is>
          <t>AI 2145</t>
        </is>
      </c>
      <c r="D141" s="3" t="n">
        <v>36527.86805555555</v>
      </c>
      <c r="E141" s="2" t="n">
        <v>20</v>
      </c>
      <c r="F141" s="2" t="inlineStr">
        <is>
          <t>DEL-DPS</t>
        </is>
      </c>
      <c r="G141" s="2" t="inlineStr">
        <is>
          <t>INTERNATIONAL</t>
        </is>
      </c>
      <c r="H141" s="2" t="inlineStr">
        <is>
          <t>Terminal 3</t>
        </is>
      </c>
      <c r="I141" s="2" t="inlineStr">
        <is>
          <t>AISATS</t>
        </is>
      </c>
      <c r="J141" s="2" t="n">
        <v>188</v>
      </c>
      <c r="K141" s="2" t="n">
        <v>150</v>
      </c>
      <c r="L141" s="2" t="n">
        <v>45</v>
      </c>
      <c r="M141" s="2" t="n">
        <v>60</v>
      </c>
      <c r="N141" s="2" t="n">
        <v>45</v>
      </c>
      <c r="O141" s="3" t="n">
        <v>36527.70138888889</v>
      </c>
      <c r="P141" s="3" t="n">
        <v>36527.74305555555</v>
      </c>
      <c r="Q141" s="3" t="n">
        <v>36527.78472222222</v>
      </c>
    </row>
    <row r="142">
      <c r="A142" s="2" t="inlineStr">
        <is>
          <t>21-06-2026</t>
        </is>
      </c>
      <c r="B142" s="2" t="inlineStr">
        <is>
          <t>6E</t>
        </is>
      </c>
      <c r="C142" s="2" t="inlineStr">
        <is>
          <t>6E 1083</t>
        </is>
      </c>
      <c r="D142" s="3" t="n">
        <v>36527.87152777778</v>
      </c>
      <c r="E142" s="2" t="n">
        <v>20</v>
      </c>
      <c r="F142" s="2" t="inlineStr">
        <is>
          <t>DEL-DMM</t>
        </is>
      </c>
      <c r="G142" s="2" t="inlineStr">
        <is>
          <t>INTERNATIONAL</t>
        </is>
      </c>
      <c r="H142" s="2" t="inlineStr">
        <is>
          <t>Terminal 3</t>
        </is>
      </c>
      <c r="I142" s="2" t="inlineStr">
        <is>
          <t>IndiGo</t>
        </is>
      </c>
      <c r="J142" s="2" t="n">
        <v>232</v>
      </c>
      <c r="K142" s="2" t="n">
        <v>186</v>
      </c>
      <c r="L142" s="2" t="n">
        <v>56</v>
      </c>
      <c r="M142" s="2" t="n">
        <v>74</v>
      </c>
      <c r="N142" s="2" t="n">
        <v>56</v>
      </c>
      <c r="O142" s="3" t="n">
        <v>36527.70486111111</v>
      </c>
      <c r="P142" s="3" t="n">
        <v>36527.74652777778</v>
      </c>
      <c r="Q142" s="3" t="n">
        <v>36527.78819444445</v>
      </c>
    </row>
    <row r="143">
      <c r="A143" s="2" t="inlineStr">
        <is>
          <t>21-06-2026</t>
        </is>
      </c>
      <c r="B143" s="2" t="inlineStr">
        <is>
          <t>XJ</t>
        </is>
      </c>
      <c r="C143" s="2" t="inlineStr">
        <is>
          <t>XJ 231</t>
        </is>
      </c>
      <c r="D143" s="3" t="n">
        <v>36527.87152777778</v>
      </c>
      <c r="E143" s="2" t="n">
        <v>20</v>
      </c>
      <c r="F143" s="2" t="inlineStr">
        <is>
          <t>DEL-DMK</t>
        </is>
      </c>
      <c r="G143" s="2" t="inlineStr">
        <is>
          <t>INTERNATIONAL</t>
        </is>
      </c>
      <c r="H143" s="2" t="inlineStr">
        <is>
          <t>Terminal 3</t>
        </is>
      </c>
      <c r="I143" s="2" t="inlineStr">
        <is>
          <t>BFS</t>
        </is>
      </c>
      <c r="J143" s="2" t="n">
        <v>377</v>
      </c>
      <c r="K143" s="2" t="n">
        <v>302</v>
      </c>
      <c r="L143" s="2" t="n">
        <v>91</v>
      </c>
      <c r="M143" s="2" t="n">
        <v>121</v>
      </c>
      <c r="N143" s="2" t="n">
        <v>91</v>
      </c>
      <c r="O143" s="3" t="n">
        <v>36527.70486111111</v>
      </c>
      <c r="P143" s="3" t="n">
        <v>36527.74652777778</v>
      </c>
      <c r="Q143" s="3" t="n">
        <v>36527.78819444445</v>
      </c>
    </row>
    <row r="144">
      <c r="A144" s="2" t="inlineStr">
        <is>
          <t>21-06-2026</t>
        </is>
      </c>
      <c r="B144" s="2" t="inlineStr">
        <is>
          <t>6E</t>
        </is>
      </c>
      <c r="C144" s="2" t="inlineStr">
        <is>
          <t>6E 1405</t>
        </is>
      </c>
      <c r="D144" s="3" t="n">
        <v>36527.875</v>
      </c>
      <c r="E144" s="2" t="n">
        <v>21</v>
      </c>
      <c r="F144" s="2" t="inlineStr">
        <is>
          <t>DEL-AUH</t>
        </is>
      </c>
      <c r="G144" s="2" t="inlineStr">
        <is>
          <t>INTERNATIONAL</t>
        </is>
      </c>
      <c r="H144" s="2" t="inlineStr">
        <is>
          <t>Terminal 3</t>
        </is>
      </c>
      <c r="I144" s="2" t="inlineStr">
        <is>
          <t>IndiGo</t>
        </is>
      </c>
      <c r="J144" s="2" t="n">
        <v>232</v>
      </c>
      <c r="K144" s="2" t="n">
        <v>186</v>
      </c>
      <c r="L144" s="2" t="n">
        <v>56</v>
      </c>
      <c r="M144" s="2" t="n">
        <v>74</v>
      </c>
      <c r="N144" s="2" t="n">
        <v>56</v>
      </c>
      <c r="O144" s="3" t="n">
        <v>36527.70833333334</v>
      </c>
      <c r="P144" s="3" t="n">
        <v>36527.75</v>
      </c>
      <c r="Q144" s="3" t="n">
        <v>36527.79166666666</v>
      </c>
    </row>
    <row r="145">
      <c r="A145" s="2" t="inlineStr">
        <is>
          <t>21-06-2026</t>
        </is>
      </c>
      <c r="B145" s="2" t="inlineStr">
        <is>
          <t>AI</t>
        </is>
      </c>
      <c r="C145" s="2" t="inlineStr">
        <is>
          <t>AI 223</t>
        </is>
      </c>
      <c r="D145" s="3" t="n">
        <v>36527.88541666666</v>
      </c>
      <c r="E145" s="2" t="n">
        <v>21</v>
      </c>
      <c r="F145" s="2" t="inlineStr">
        <is>
          <t>DEL-KTM</t>
        </is>
      </c>
      <c r="G145" s="2" t="inlineStr">
        <is>
          <t>INTERNATIONAL</t>
        </is>
      </c>
      <c r="H145" s="2" t="inlineStr">
        <is>
          <t>Terminal 3</t>
        </is>
      </c>
      <c r="I145" s="2" t="inlineStr">
        <is>
          <t>AISATS</t>
        </is>
      </c>
      <c r="J145" s="2" t="n">
        <v>150</v>
      </c>
      <c r="K145" s="2" t="n">
        <v>120</v>
      </c>
      <c r="L145" s="2" t="n">
        <v>36</v>
      </c>
      <c r="M145" s="2" t="n">
        <v>48</v>
      </c>
      <c r="N145" s="2" t="n">
        <v>36</v>
      </c>
      <c r="O145" s="3" t="n">
        <v>36527.71875</v>
      </c>
      <c r="P145" s="3" t="n">
        <v>36527.76041666666</v>
      </c>
      <c r="Q145" s="3" t="n">
        <v>36527.80208333334</v>
      </c>
    </row>
    <row r="146">
      <c r="A146" s="2" t="inlineStr">
        <is>
          <t>21-06-2026</t>
        </is>
      </c>
      <c r="B146" s="2" t="inlineStr">
        <is>
          <t>IX</t>
        </is>
      </c>
      <c r="C146" s="2" t="inlineStr">
        <is>
          <t>IX 173</t>
        </is>
      </c>
      <c r="D146" s="3" t="n">
        <v>36527.88888888889</v>
      </c>
      <c r="E146" s="2" t="n">
        <v>21</v>
      </c>
      <c r="F146" s="2" t="inlineStr">
        <is>
          <t>DEL-DMM</t>
        </is>
      </c>
      <c r="G146" s="2" t="inlineStr">
        <is>
          <t>INTERNATIONAL</t>
        </is>
      </c>
      <c r="H146" s="2" t="inlineStr">
        <is>
          <t>Terminal 3</t>
        </is>
      </c>
      <c r="I146" s="2" t="inlineStr">
        <is>
          <t>AISATS</t>
        </is>
      </c>
      <c r="J146" s="2" t="n">
        <v>327</v>
      </c>
      <c r="K146" s="2" t="n">
        <v>262</v>
      </c>
      <c r="L146" s="2" t="n">
        <v>79</v>
      </c>
      <c r="M146" s="2" t="n">
        <v>105</v>
      </c>
      <c r="N146" s="2" t="n">
        <v>79</v>
      </c>
      <c r="O146" s="3" t="n">
        <v>36527.72222222222</v>
      </c>
      <c r="P146" s="3" t="n">
        <v>36527.76388888889</v>
      </c>
      <c r="Q146" s="3" t="n">
        <v>36527.80555555555</v>
      </c>
    </row>
    <row r="147">
      <c r="A147" s="2" t="inlineStr">
        <is>
          <t>21-06-2026</t>
        </is>
      </c>
      <c r="B147" s="2" t="inlineStr">
        <is>
          <t>6E</t>
        </is>
      </c>
      <c r="C147" s="2" t="inlineStr">
        <is>
          <t>6E 1307</t>
        </is>
      </c>
      <c r="D147" s="3" t="n">
        <v>36527.89583333334</v>
      </c>
      <c r="E147" s="2" t="n">
        <v>21</v>
      </c>
      <c r="F147" s="2" t="inlineStr">
        <is>
          <t>DEL-DOH</t>
        </is>
      </c>
      <c r="G147" s="2" t="inlineStr">
        <is>
          <t>INTERNATIONAL</t>
        </is>
      </c>
      <c r="H147" s="2" t="inlineStr">
        <is>
          <t>Terminal 3</t>
        </is>
      </c>
      <c r="I147" s="2" t="inlineStr">
        <is>
          <t>IndiGo</t>
        </is>
      </c>
      <c r="J147" s="2" t="n">
        <v>180</v>
      </c>
      <c r="K147" s="2" t="n">
        <v>144</v>
      </c>
      <c r="L147" s="2" t="n">
        <v>43</v>
      </c>
      <c r="M147" s="2" t="n">
        <v>58</v>
      </c>
      <c r="N147" s="2" t="n">
        <v>43</v>
      </c>
      <c r="O147" s="3" t="n">
        <v>36527.72916666666</v>
      </c>
      <c r="P147" s="3" t="n">
        <v>36527.77083333334</v>
      </c>
      <c r="Q147" s="3" t="n">
        <v>36527.8125</v>
      </c>
    </row>
    <row r="148">
      <c r="A148" s="2" t="inlineStr">
        <is>
          <t>21-06-2026</t>
        </is>
      </c>
      <c r="B148" s="2" t="inlineStr">
        <is>
          <t>AI</t>
        </is>
      </c>
      <c r="C148" s="2" t="inlineStr">
        <is>
          <t>AI 2386</t>
        </is>
      </c>
      <c r="D148" s="3" t="n">
        <v>36527.90277777778</v>
      </c>
      <c r="E148" s="2" t="n">
        <v>21</v>
      </c>
      <c r="F148" s="2" t="inlineStr">
        <is>
          <t>DEL-KUL</t>
        </is>
      </c>
      <c r="G148" s="2" t="inlineStr">
        <is>
          <t>INTERNATIONAL</t>
        </is>
      </c>
      <c r="H148" s="2" t="inlineStr">
        <is>
          <t>Terminal 3</t>
        </is>
      </c>
      <c r="I148" s="2" t="inlineStr">
        <is>
          <t>AISATS</t>
        </is>
      </c>
      <c r="J148" s="2" t="n">
        <v>186</v>
      </c>
      <c r="K148" s="2" t="n">
        <v>149</v>
      </c>
      <c r="L148" s="2" t="n">
        <v>45</v>
      </c>
      <c r="M148" s="2" t="n">
        <v>60</v>
      </c>
      <c r="N148" s="2" t="n">
        <v>45</v>
      </c>
      <c r="O148" s="3" t="n">
        <v>36527.73611111111</v>
      </c>
      <c r="P148" s="3" t="n">
        <v>36527.77777777778</v>
      </c>
      <c r="Q148" s="3" t="n">
        <v>36527.81944444445</v>
      </c>
    </row>
    <row r="149">
      <c r="A149" s="2" t="inlineStr">
        <is>
          <t>21-06-2026</t>
        </is>
      </c>
      <c r="B149" s="2" t="inlineStr">
        <is>
          <t>AI</t>
        </is>
      </c>
      <c r="C149" s="2" t="inlineStr">
        <is>
          <t>AI 101</t>
        </is>
      </c>
      <c r="D149" s="3" t="n">
        <v>36527.90625</v>
      </c>
      <c r="E149" s="2" t="n">
        <v>21</v>
      </c>
      <c r="F149" s="2" t="inlineStr">
        <is>
          <t>DEL-FCO-JFK</t>
        </is>
      </c>
      <c r="G149" s="2" t="inlineStr">
        <is>
          <t>INTERNATIONAL</t>
        </is>
      </c>
      <c r="H149" s="2" t="inlineStr">
        <is>
          <t>Terminal 3</t>
        </is>
      </c>
      <c r="I149" s="2" t="inlineStr">
        <is>
          <t>AISATS</t>
        </is>
      </c>
      <c r="J149" s="2" t="n">
        <v>164</v>
      </c>
      <c r="K149" s="2" t="n">
        <v>131</v>
      </c>
      <c r="L149" s="2" t="n">
        <v>39</v>
      </c>
      <c r="M149" s="2" t="n">
        <v>52</v>
      </c>
      <c r="N149" s="2" t="n">
        <v>39</v>
      </c>
      <c r="O149" s="3" t="n">
        <v>36527.73958333334</v>
      </c>
      <c r="P149" s="3" t="n">
        <v>36527.78125</v>
      </c>
      <c r="Q149" s="3" t="n">
        <v>36527.82291666666</v>
      </c>
    </row>
    <row r="150">
      <c r="A150" s="2" t="inlineStr">
        <is>
          <t>21-06-2026</t>
        </is>
      </c>
      <c r="B150" s="2" t="inlineStr">
        <is>
          <t>GF</t>
        </is>
      </c>
      <c r="C150" s="2" t="inlineStr">
        <is>
          <t>GF 135</t>
        </is>
      </c>
      <c r="D150" s="3" t="n">
        <v>36527.90972222222</v>
      </c>
      <c r="E150" s="2" t="n">
        <v>21</v>
      </c>
      <c r="F150" s="2" t="inlineStr">
        <is>
          <t>DEL-BAH</t>
        </is>
      </c>
      <c r="G150" s="2" t="inlineStr">
        <is>
          <t>INTERNATIONAL</t>
        </is>
      </c>
      <c r="H150" s="2" t="inlineStr">
        <is>
          <t>Terminal 3</t>
        </is>
      </c>
      <c r="I150" s="2" t="inlineStr">
        <is>
          <t>AISATS</t>
        </is>
      </c>
      <c r="J150" s="2" t="n">
        <v>316</v>
      </c>
      <c r="K150" s="2" t="n">
        <v>253</v>
      </c>
      <c r="L150" s="2" t="n">
        <v>76</v>
      </c>
      <c r="M150" s="2" t="n">
        <v>101</v>
      </c>
      <c r="N150" s="2" t="n">
        <v>76</v>
      </c>
      <c r="O150" s="3" t="n">
        <v>36527.74305555555</v>
      </c>
      <c r="P150" s="3" t="n">
        <v>36527.78472222222</v>
      </c>
      <c r="Q150" s="3" t="n">
        <v>36527.82638888889</v>
      </c>
    </row>
    <row r="151">
      <c r="A151" s="2" t="inlineStr">
        <is>
          <t>21-06-2026</t>
        </is>
      </c>
      <c r="B151" s="2" t="inlineStr">
        <is>
          <t>SQ</t>
        </is>
      </c>
      <c r="C151" s="2" t="inlineStr">
        <is>
          <t>SQ 403</t>
        </is>
      </c>
      <c r="D151" s="3" t="n">
        <v>36527.91319444445</v>
      </c>
      <c r="E151" s="2" t="n">
        <v>21</v>
      </c>
      <c r="F151" s="2" t="inlineStr">
        <is>
          <t>DEL-SIN</t>
        </is>
      </c>
      <c r="G151" s="2" t="inlineStr">
        <is>
          <t>INTERNATIONAL</t>
        </is>
      </c>
      <c r="H151" s="2" t="inlineStr">
        <is>
          <t>Terminal 3</t>
        </is>
      </c>
      <c r="I151" s="2" t="inlineStr">
        <is>
          <t>BFS</t>
        </is>
      </c>
      <c r="J151" s="2" t="n">
        <v>150</v>
      </c>
      <c r="K151" s="2" t="n">
        <v>120</v>
      </c>
      <c r="L151" s="2" t="n">
        <v>36</v>
      </c>
      <c r="M151" s="2" t="n">
        <v>48</v>
      </c>
      <c r="N151" s="2" t="n">
        <v>36</v>
      </c>
      <c r="O151" s="3" t="n">
        <v>36527.74652777778</v>
      </c>
      <c r="P151" s="3" t="n">
        <v>36527.78819444445</v>
      </c>
      <c r="Q151" s="3" t="n">
        <v>36527.82986111111</v>
      </c>
    </row>
    <row r="152">
      <c r="A152" s="2" t="inlineStr">
        <is>
          <t>21-06-2026</t>
        </is>
      </c>
      <c r="B152" s="2" t="inlineStr">
        <is>
          <t>6E</t>
        </is>
      </c>
      <c r="C152" s="2" t="inlineStr">
        <is>
          <t>6E 063</t>
        </is>
      </c>
      <c r="D152" s="3" t="n">
        <v>36527.91666666666</v>
      </c>
      <c r="E152" s="2" t="n">
        <v>22</v>
      </c>
      <c r="F152" s="2" t="inlineStr">
        <is>
          <t>DEL-JED</t>
        </is>
      </c>
      <c r="G152" s="2" t="inlineStr">
        <is>
          <t>INTERNATIONAL</t>
        </is>
      </c>
      <c r="H152" s="2" t="inlineStr">
        <is>
          <t>Terminal 3</t>
        </is>
      </c>
      <c r="I152" s="2" t="inlineStr">
        <is>
          <t>AISATS</t>
        </is>
      </c>
      <c r="J152" s="2" t="n">
        <v>471</v>
      </c>
      <c r="K152" s="2" t="n">
        <v>377</v>
      </c>
      <c r="L152" s="2" t="n">
        <v>113</v>
      </c>
      <c r="M152" s="2" t="n">
        <v>151</v>
      </c>
      <c r="N152" s="2" t="n">
        <v>113</v>
      </c>
      <c r="O152" s="3" t="n">
        <v>36527.75</v>
      </c>
      <c r="P152" s="3" t="n">
        <v>36527.79166666666</v>
      </c>
      <c r="Q152" s="3" t="n">
        <v>36527.83333333334</v>
      </c>
    </row>
    <row r="153">
      <c r="A153" s="2" t="inlineStr">
        <is>
          <t>21-06-2026</t>
        </is>
      </c>
      <c r="B153" s="2" t="inlineStr">
        <is>
          <t>6E</t>
        </is>
      </c>
      <c r="C153" s="2" t="inlineStr">
        <is>
          <t>6E 071</t>
        </is>
      </c>
      <c r="D153" s="3" t="n">
        <v>36527.91666666666</v>
      </c>
      <c r="E153" s="2" t="n">
        <v>22</v>
      </c>
      <c r="F153" s="2" t="inlineStr">
        <is>
          <t>DEL-RUH</t>
        </is>
      </c>
      <c r="G153" s="2" t="inlineStr">
        <is>
          <t>INTERNATIONAL</t>
        </is>
      </c>
      <c r="H153" s="2" t="inlineStr">
        <is>
          <t>Terminal 3</t>
        </is>
      </c>
      <c r="I153" s="2" t="inlineStr">
        <is>
          <t>IndiGo</t>
        </is>
      </c>
      <c r="J153" s="2" t="n">
        <v>186</v>
      </c>
      <c r="K153" s="2" t="n">
        <v>149</v>
      </c>
      <c r="L153" s="2" t="n">
        <v>45</v>
      </c>
      <c r="M153" s="2" t="n">
        <v>60</v>
      </c>
      <c r="N153" s="2" t="n">
        <v>45</v>
      </c>
      <c r="O153" s="3" t="n">
        <v>36527.75</v>
      </c>
      <c r="P153" s="3" t="n">
        <v>36527.79166666666</v>
      </c>
      <c r="Q153" s="3" t="n">
        <v>36527.83333333334</v>
      </c>
    </row>
    <row r="154">
      <c r="A154" s="2" t="inlineStr">
        <is>
          <t>21-06-2026</t>
        </is>
      </c>
      <c r="B154" s="2" t="inlineStr">
        <is>
          <t>OD</t>
        </is>
      </c>
      <c r="C154" s="2" t="inlineStr">
        <is>
          <t>OD 206</t>
        </is>
      </c>
      <c r="D154" s="3" t="n">
        <v>36527.92013888889</v>
      </c>
      <c r="E154" s="2" t="n">
        <v>22</v>
      </c>
      <c r="F154" s="2" t="inlineStr">
        <is>
          <t>DEL-KUL</t>
        </is>
      </c>
      <c r="G154" s="2" t="inlineStr">
        <is>
          <t>INTERNATIONAL</t>
        </is>
      </c>
      <c r="H154" s="2" t="inlineStr">
        <is>
          <t>Terminal 3</t>
        </is>
      </c>
      <c r="I154" s="2" t="inlineStr">
        <is>
          <t>IndiGo</t>
        </is>
      </c>
      <c r="J154" s="2" t="n">
        <v>186</v>
      </c>
      <c r="K154" s="2" t="n">
        <v>149</v>
      </c>
      <c r="L154" s="2" t="n">
        <v>45</v>
      </c>
      <c r="M154" s="2" t="n">
        <v>60</v>
      </c>
      <c r="N154" s="2" t="n">
        <v>45</v>
      </c>
      <c r="O154" s="3" t="n">
        <v>36527.75347222222</v>
      </c>
      <c r="P154" s="3" t="n">
        <v>36527.79513888889</v>
      </c>
      <c r="Q154" s="3" t="n">
        <v>36527.83680555555</v>
      </c>
    </row>
    <row r="155">
      <c r="A155" s="2" t="inlineStr">
        <is>
          <t>21-06-2026</t>
        </is>
      </c>
      <c r="B155" s="2" t="inlineStr">
        <is>
          <t>EK</t>
        </is>
      </c>
      <c r="C155" s="2" t="inlineStr">
        <is>
          <t>EK 515</t>
        </is>
      </c>
      <c r="D155" s="3" t="n">
        <v>36527.92013888889</v>
      </c>
      <c r="E155" s="2" t="n">
        <v>22</v>
      </c>
      <c r="F155" s="2" t="inlineStr">
        <is>
          <t>DEL-DXB</t>
        </is>
      </c>
      <c r="G155" s="2" t="inlineStr">
        <is>
          <t>INTERNATIONAL</t>
        </is>
      </c>
      <c r="H155" s="2" t="inlineStr">
        <is>
          <t>Terminal 3</t>
        </is>
      </c>
      <c r="I155" s="2" t="inlineStr">
        <is>
          <t>AISATS</t>
        </is>
      </c>
      <c r="J155" s="2" t="n">
        <v>189</v>
      </c>
      <c r="K155" s="2" t="n">
        <v>151</v>
      </c>
      <c r="L155" s="2" t="n">
        <v>45</v>
      </c>
      <c r="M155" s="2" t="n">
        <v>60</v>
      </c>
      <c r="N155" s="2" t="n">
        <v>45</v>
      </c>
      <c r="O155" s="3" t="n">
        <v>36527.75347222222</v>
      </c>
      <c r="P155" s="3" t="n">
        <v>36527.79513888889</v>
      </c>
      <c r="Q155" s="3" t="n">
        <v>36527.83680555555</v>
      </c>
    </row>
    <row r="156">
      <c r="A156" s="2" t="inlineStr">
        <is>
          <t>21-06-2026</t>
        </is>
      </c>
      <c r="B156" s="2" t="inlineStr">
        <is>
          <t>AI</t>
        </is>
      </c>
      <c r="C156" s="2" t="inlineStr">
        <is>
          <t>AI 314</t>
        </is>
      </c>
      <c r="D156" s="3" t="n">
        <v>36527.92361111111</v>
      </c>
      <c r="E156" s="2" t="n">
        <v>22</v>
      </c>
      <c r="F156" s="2" t="inlineStr">
        <is>
          <t>DEL-HKG</t>
        </is>
      </c>
      <c r="G156" s="2" t="inlineStr">
        <is>
          <t>INTERNATIONAL</t>
        </is>
      </c>
      <c r="H156" s="2" t="inlineStr">
        <is>
          <t>Terminal 3</t>
        </is>
      </c>
      <c r="I156" s="2" t="inlineStr">
        <is>
          <t>AISATS</t>
        </is>
      </c>
      <c r="J156" s="2" t="n">
        <v>360</v>
      </c>
      <c r="K156" s="2" t="n">
        <v>288</v>
      </c>
      <c r="L156" s="2" t="n">
        <v>86</v>
      </c>
      <c r="M156" s="2" t="n">
        <v>115</v>
      </c>
      <c r="N156" s="2" t="n">
        <v>86</v>
      </c>
      <c r="O156" s="3" t="n">
        <v>36527.75694444445</v>
      </c>
      <c r="P156" s="3" t="n">
        <v>36527.79861111111</v>
      </c>
      <c r="Q156" s="3" t="n">
        <v>36527.84027777778</v>
      </c>
    </row>
    <row r="157">
      <c r="A157" s="2" t="inlineStr">
        <is>
          <t>21-06-2026</t>
        </is>
      </c>
      <c r="B157" s="2" t="inlineStr">
        <is>
          <t>CX</t>
        </is>
      </c>
      <c r="C157" s="2" t="inlineStr">
        <is>
          <t>CX 698</t>
        </is>
      </c>
      <c r="D157" s="3" t="n">
        <v>36527.94791666666</v>
      </c>
      <c r="E157" s="2" t="n">
        <v>22</v>
      </c>
      <c r="F157" s="2" t="inlineStr">
        <is>
          <t>DEL-HKG</t>
        </is>
      </c>
      <c r="G157" s="2" t="inlineStr">
        <is>
          <t>INTERNATIONAL</t>
        </is>
      </c>
      <c r="H157" s="2" t="inlineStr">
        <is>
          <t>Terminal 3</t>
        </is>
      </c>
      <c r="I157" s="2" t="inlineStr">
        <is>
          <t>AISATS</t>
        </is>
      </c>
      <c r="J157" s="2" t="n">
        <v>188</v>
      </c>
      <c r="K157" s="2" t="n">
        <v>150</v>
      </c>
      <c r="L157" s="2" t="n">
        <v>45</v>
      </c>
      <c r="M157" s="2" t="n">
        <v>60</v>
      </c>
      <c r="N157" s="2" t="n">
        <v>45</v>
      </c>
      <c r="O157" s="3" t="n">
        <v>36527.78125</v>
      </c>
      <c r="P157" s="3" t="n">
        <v>36527.82291666666</v>
      </c>
      <c r="Q157" s="3" t="n">
        <v>36527.86458333334</v>
      </c>
    </row>
    <row r="158">
      <c r="A158" s="2" t="inlineStr">
        <is>
          <t>21-06-2026</t>
        </is>
      </c>
      <c r="B158" s="2" t="inlineStr">
        <is>
          <t>AC</t>
        </is>
      </c>
      <c r="C158" s="2" t="inlineStr">
        <is>
          <t>AC 043</t>
        </is>
      </c>
      <c r="D158" s="3" t="n">
        <v>36527.95138888889</v>
      </c>
      <c r="E158" s="2" t="n">
        <v>22</v>
      </c>
      <c r="F158" s="2" t="inlineStr">
        <is>
          <t>DEL-YYZ</t>
        </is>
      </c>
      <c r="G158" s="2" t="inlineStr">
        <is>
          <t>INTERNATIONAL</t>
        </is>
      </c>
      <c r="H158" s="2" t="inlineStr">
        <is>
          <t>Terminal 3</t>
        </is>
      </c>
      <c r="I158" s="2" t="inlineStr">
        <is>
          <t>AISATS</t>
        </is>
      </c>
      <c r="J158" s="2" t="n">
        <v>368</v>
      </c>
      <c r="K158" s="2" t="n">
        <v>294</v>
      </c>
      <c r="L158" s="2" t="n">
        <v>88</v>
      </c>
      <c r="M158" s="2" t="n">
        <v>118</v>
      </c>
      <c r="N158" s="2" t="n">
        <v>88</v>
      </c>
      <c r="O158" s="3" t="n">
        <v>36527.78472222222</v>
      </c>
      <c r="P158" s="3" t="n">
        <v>36527.82638888889</v>
      </c>
      <c r="Q158" s="3" t="n">
        <v>36527.86805555555</v>
      </c>
    </row>
    <row r="159">
      <c r="A159" s="2" t="inlineStr">
        <is>
          <t>21-06-2026</t>
        </is>
      </c>
      <c r="B159" s="2" t="inlineStr">
        <is>
          <t>CA</t>
        </is>
      </c>
      <c r="C159" s="2" t="inlineStr">
        <is>
          <t>CA 948</t>
        </is>
      </c>
      <c r="D159" s="3" t="n">
        <v>36527.95138888889</v>
      </c>
      <c r="E159" s="2" t="n">
        <v>22</v>
      </c>
      <c r="F159" s="2" t="inlineStr">
        <is>
          <t>DEL-PEK</t>
        </is>
      </c>
      <c r="G159" s="2" t="inlineStr">
        <is>
          <t>INTERNATIONAL</t>
        </is>
      </c>
      <c r="H159" s="2" t="inlineStr">
        <is>
          <t>Terminal 3</t>
        </is>
      </c>
      <c r="I159" s="2" t="inlineStr">
        <is>
          <t>BFS</t>
        </is>
      </c>
      <c r="J159" s="2" t="n">
        <v>300</v>
      </c>
      <c r="K159" s="2" t="n">
        <v>240</v>
      </c>
      <c r="L159" s="2" t="n">
        <v>72</v>
      </c>
      <c r="M159" s="2" t="n">
        <v>96</v>
      </c>
      <c r="N159" s="2" t="n">
        <v>72</v>
      </c>
      <c r="O159" s="3" t="n">
        <v>36527.78472222222</v>
      </c>
      <c r="P159" s="3" t="n">
        <v>36527.82638888889</v>
      </c>
      <c r="Q159" s="3" t="n">
        <v>36527.86805555555</v>
      </c>
    </row>
    <row r="160">
      <c r="A160" s="2" t="inlineStr">
        <is>
          <t>21-06-2026</t>
        </is>
      </c>
      <c r="B160" s="2" t="inlineStr">
        <is>
          <t>AI</t>
        </is>
      </c>
      <c r="C160" s="2" t="inlineStr">
        <is>
          <t>AI 2380</t>
        </is>
      </c>
      <c r="D160" s="3" t="n">
        <v>36527.95833333334</v>
      </c>
      <c r="E160" s="2" t="n">
        <v>23</v>
      </c>
      <c r="F160" s="2" t="inlineStr">
        <is>
          <t>DEL-SIN</t>
        </is>
      </c>
      <c r="G160" s="2" t="inlineStr">
        <is>
          <t>INTERNATIONAL</t>
        </is>
      </c>
      <c r="H160" s="2" t="inlineStr">
        <is>
          <t>Terminal 3</t>
        </is>
      </c>
      <c r="I160" s="2" t="inlineStr">
        <is>
          <t>AISATS</t>
        </is>
      </c>
      <c r="J160" s="2" t="n">
        <v>301</v>
      </c>
      <c r="K160" s="2" t="n">
        <v>241</v>
      </c>
      <c r="L160" s="2" t="n">
        <v>72</v>
      </c>
      <c r="M160" s="2" t="n">
        <v>96</v>
      </c>
      <c r="N160" s="2" t="n">
        <v>72</v>
      </c>
      <c r="O160" s="3" t="n">
        <v>36527.79166666666</v>
      </c>
      <c r="P160" s="3" t="n">
        <v>36527.83333333334</v>
      </c>
      <c r="Q160" s="3" t="n">
        <v>36527.875</v>
      </c>
    </row>
    <row r="161">
      <c r="A161" s="2" t="inlineStr">
        <is>
          <t>21-06-2026</t>
        </is>
      </c>
      <c r="B161" s="2" t="inlineStr">
        <is>
          <t>MH</t>
        </is>
      </c>
      <c r="C161" s="2" t="inlineStr">
        <is>
          <t>MH 191</t>
        </is>
      </c>
      <c r="D161" s="3" t="n">
        <v>36527.95833333334</v>
      </c>
      <c r="E161" s="2" t="n">
        <v>23</v>
      </c>
      <c r="F161" s="2" t="inlineStr">
        <is>
          <t>DEL-KUL</t>
        </is>
      </c>
      <c r="G161" s="2" t="inlineStr">
        <is>
          <t>INTERNATIONAL</t>
        </is>
      </c>
      <c r="H161" s="2" t="inlineStr">
        <is>
          <t>Terminal 3</t>
        </is>
      </c>
      <c r="I161" s="2" t="inlineStr">
        <is>
          <t>AISATS</t>
        </is>
      </c>
      <c r="J161" s="2" t="n">
        <v>188</v>
      </c>
      <c r="K161" s="2" t="n">
        <v>150</v>
      </c>
      <c r="L161" s="2" t="n">
        <v>45</v>
      </c>
      <c r="M161" s="2" t="n">
        <v>60</v>
      </c>
      <c r="N161" s="2" t="n">
        <v>45</v>
      </c>
      <c r="O161" s="3" t="n">
        <v>36527.79166666666</v>
      </c>
      <c r="P161" s="3" t="n">
        <v>36527.83333333334</v>
      </c>
      <c r="Q161" s="3" t="n">
        <v>36527.875</v>
      </c>
    </row>
    <row r="162">
      <c r="A162" s="2" t="inlineStr">
        <is>
          <t>21-06-2026</t>
        </is>
      </c>
      <c r="B162" s="2" t="inlineStr">
        <is>
          <t>D7</t>
        </is>
      </c>
      <c r="C162" s="2" t="inlineStr">
        <is>
          <t>D7 183</t>
        </is>
      </c>
      <c r="D162" s="3" t="n">
        <v>36527.97222222222</v>
      </c>
      <c r="E162" s="2" t="n">
        <v>23</v>
      </c>
      <c r="F162" s="2" t="inlineStr">
        <is>
          <t>DEL-KUL</t>
        </is>
      </c>
      <c r="G162" s="2" t="inlineStr">
        <is>
          <t>INTERNATIONAL</t>
        </is>
      </c>
      <c r="H162" s="2" t="inlineStr">
        <is>
          <t>Terminal 3</t>
        </is>
      </c>
      <c r="I162" s="2" t="inlineStr">
        <is>
          <t>AISATS</t>
        </is>
      </c>
      <c r="J162" s="2" t="n">
        <v>290</v>
      </c>
      <c r="K162" s="2" t="n">
        <v>232</v>
      </c>
      <c r="L162" s="2" t="n">
        <v>70</v>
      </c>
      <c r="M162" s="2" t="n">
        <v>93</v>
      </c>
      <c r="N162" s="2" t="n">
        <v>70</v>
      </c>
      <c r="O162" s="3" t="n">
        <v>36527.80555555555</v>
      </c>
      <c r="P162" s="3" t="n">
        <v>36527.84722222222</v>
      </c>
      <c r="Q162" s="3" t="n">
        <v>36527.88888888889</v>
      </c>
    </row>
    <row r="163">
      <c r="A163" s="2" t="inlineStr">
        <is>
          <t>21-06-2026</t>
        </is>
      </c>
      <c r="B163" s="2" t="inlineStr">
        <is>
          <t>AA</t>
        </is>
      </c>
      <c r="C163" s="2" t="inlineStr">
        <is>
          <t>AA 293</t>
        </is>
      </c>
      <c r="D163" s="3" t="n">
        <v>36527.97916666666</v>
      </c>
      <c r="E163" s="2" t="n">
        <v>23</v>
      </c>
      <c r="F163" s="2" t="inlineStr">
        <is>
          <t>DEL-JFK</t>
        </is>
      </c>
      <c r="G163" s="2" t="inlineStr">
        <is>
          <t>INTERNATIONAL</t>
        </is>
      </c>
      <c r="H163" s="2" t="inlineStr">
        <is>
          <t>Terminal 3</t>
        </is>
      </c>
      <c r="I163" s="2" t="inlineStr">
        <is>
          <t>BFS</t>
        </is>
      </c>
      <c r="J163" s="2" t="n">
        <v>377</v>
      </c>
      <c r="K163" s="2" t="n">
        <v>302</v>
      </c>
      <c r="L163" s="2" t="n">
        <v>91</v>
      </c>
      <c r="M163" s="2" t="n">
        <v>121</v>
      </c>
      <c r="N163" s="2" t="n">
        <v>91</v>
      </c>
      <c r="O163" s="3" t="n">
        <v>36527.8125</v>
      </c>
      <c r="P163" s="3" t="n">
        <v>36527.85416666666</v>
      </c>
      <c r="Q163" s="3" t="n">
        <v>36527.89583333334</v>
      </c>
    </row>
    <row r="164">
      <c r="A164" s="2" t="inlineStr">
        <is>
          <t>21-06-2026</t>
        </is>
      </c>
      <c r="B164" s="2" t="inlineStr">
        <is>
          <t>TG</t>
        </is>
      </c>
      <c r="C164" s="2" t="inlineStr">
        <is>
          <t>TG 316</t>
        </is>
      </c>
      <c r="D164" s="3" t="n">
        <v>36527.97916666666</v>
      </c>
      <c r="E164" s="2" t="n">
        <v>23</v>
      </c>
      <c r="F164" s="2" t="inlineStr">
        <is>
          <t>DEL-BKK</t>
        </is>
      </c>
      <c r="G164" s="2" t="inlineStr">
        <is>
          <t>INTERNATIONAL</t>
        </is>
      </c>
      <c r="H164" s="2" t="inlineStr">
        <is>
          <t>Terminal 3</t>
        </is>
      </c>
      <c r="I164" s="2" t="inlineStr">
        <is>
          <t>AISATS</t>
        </is>
      </c>
      <c r="J164" s="2" t="n">
        <v>285</v>
      </c>
      <c r="K164" s="2" t="n">
        <v>228</v>
      </c>
      <c r="L164" s="2" t="n">
        <v>68</v>
      </c>
      <c r="M164" s="2" t="n">
        <v>91</v>
      </c>
      <c r="N164" s="2" t="n">
        <v>68</v>
      </c>
      <c r="O164" s="3" t="n">
        <v>36527.8125</v>
      </c>
      <c r="P164" s="3" t="n">
        <v>36527.85416666666</v>
      </c>
      <c r="Q164" s="3" t="n">
        <v>36527.89583333334</v>
      </c>
    </row>
    <row r="165">
      <c r="A165" s="2" t="inlineStr">
        <is>
          <t>21-06-2026</t>
        </is>
      </c>
      <c r="B165" s="2" t="inlineStr">
        <is>
          <t>VN</t>
        </is>
      </c>
      <c r="C165" s="2" t="inlineStr">
        <is>
          <t>VN 980</t>
        </is>
      </c>
      <c r="D165" s="3" t="n">
        <v>36527.98263888889</v>
      </c>
      <c r="E165" s="2" t="n">
        <v>23</v>
      </c>
      <c r="F165" s="2" t="inlineStr">
        <is>
          <t>DEL-HAN</t>
        </is>
      </c>
      <c r="G165" s="2" t="inlineStr">
        <is>
          <t>INTERNATIONAL</t>
        </is>
      </c>
      <c r="H165" s="2" t="inlineStr">
        <is>
          <t>Terminal 3</t>
        </is>
      </c>
      <c r="I165" s="2" t="inlineStr">
        <is>
          <t>BFS</t>
        </is>
      </c>
      <c r="J165" s="2" t="n">
        <v>298</v>
      </c>
      <c r="K165" s="2" t="n">
        <v>238</v>
      </c>
      <c r="L165" s="2" t="n">
        <v>71</v>
      </c>
      <c r="M165" s="2" t="n">
        <v>95</v>
      </c>
      <c r="N165" s="2" t="n">
        <v>71</v>
      </c>
      <c r="O165" s="3" t="n">
        <v>36527.81597222222</v>
      </c>
      <c r="P165" s="3" t="n">
        <v>36527.85763888889</v>
      </c>
      <c r="Q165" s="3" t="n">
        <v>36527.89930555555</v>
      </c>
    </row>
    <row r="166">
      <c r="A166" s="2" t="inlineStr">
        <is>
          <t>21-06-2026</t>
        </is>
      </c>
      <c r="B166" s="2" t="inlineStr">
        <is>
          <t>UA</t>
        </is>
      </c>
      <c r="C166" s="2" t="inlineStr">
        <is>
          <t>UA 083</t>
        </is>
      </c>
      <c r="D166" s="3" t="n">
        <v>36527.98263888889</v>
      </c>
      <c r="E166" s="2" t="n">
        <v>23</v>
      </c>
      <c r="F166" s="2" t="inlineStr">
        <is>
          <t>DEL-EWR</t>
        </is>
      </c>
      <c r="G166" s="2" t="inlineStr">
        <is>
          <t>INTERNATIONAL</t>
        </is>
      </c>
      <c r="H166" s="2" t="inlineStr">
        <is>
          <t>Terminal 3</t>
        </is>
      </c>
      <c r="I166" s="2" t="inlineStr">
        <is>
          <t>AISATS</t>
        </is>
      </c>
      <c r="J166" s="2" t="n">
        <v>305</v>
      </c>
      <c r="K166" s="2" t="n">
        <v>244</v>
      </c>
      <c r="L166" s="2" t="n">
        <v>73</v>
      </c>
      <c r="M166" s="2" t="n">
        <v>98</v>
      </c>
      <c r="N166" s="2" t="n">
        <v>73</v>
      </c>
      <c r="O166" s="3" t="n">
        <v>36527.81597222222</v>
      </c>
      <c r="P166" s="3" t="n">
        <v>36527.85763888889</v>
      </c>
      <c r="Q166" s="3" t="n">
        <v>36527.89930555555</v>
      </c>
    </row>
    <row r="167">
      <c r="C167" s="4" t="inlineStr">
        <is>
          <t>TOTAL</t>
        </is>
      </c>
      <c r="J167" s="5">
        <f>SUM(J2:J166)</f>
        <v/>
      </c>
      <c r="K167" s="5">
        <f>SUM(K2:K166)</f>
        <v/>
      </c>
      <c r="L167" s="5">
        <f>SUM(L2:L166)</f>
        <v/>
      </c>
      <c r="M167" s="5">
        <f>SUM(M2:M166)</f>
        <v/>
      </c>
      <c r="N167" s="5">
        <f>SUM(N2:N166)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34" customWidth="1" min="4" max="4"/>
  </cols>
  <sheetData>
    <row r="1">
      <c r="A1" s="1" t="inlineStr">
        <is>
          <t>Airline Code</t>
        </is>
      </c>
      <c r="B1" s="1" t="inlineStr">
        <is>
          <t>GHA (majority)</t>
        </is>
      </c>
      <c r="C1" s="1" t="inlineStr">
        <is>
          <t># Flights</t>
        </is>
      </c>
      <c r="D1" s="1" t="inlineStr">
        <is>
          <t>Mixed?</t>
        </is>
      </c>
    </row>
    <row r="2">
      <c r="A2" s="6" t="inlineStr">
        <is>
          <t>6E</t>
        </is>
      </c>
      <c r="B2" s="6" t="inlineStr">
        <is>
          <t>IndiGo</t>
        </is>
      </c>
      <c r="C2" s="6" t="n">
        <v>30</v>
      </c>
      <c r="D2" s="6" t="inlineStr">
        <is>
          <t>YES {'Ramp 360': 1, 'IndiGo': 23, 'AISATS': 5, 'BFS': 1}</t>
        </is>
      </c>
    </row>
    <row r="3">
      <c r="A3" s="2" t="inlineStr">
        <is>
          <t>AA</t>
        </is>
      </c>
      <c r="B3" s="2" t="inlineStr">
        <is>
          <t>BFS</t>
        </is>
      </c>
      <c r="C3" s="2" t="n">
        <v>1</v>
      </c>
      <c r="D3" s="2" t="inlineStr"/>
    </row>
    <row r="4">
      <c r="A4" s="2" t="inlineStr">
        <is>
          <t>AC</t>
        </is>
      </c>
      <c r="B4" s="2" t="inlineStr">
        <is>
          <t>AISATS</t>
        </is>
      </c>
      <c r="C4" s="2" t="n">
        <v>1</v>
      </c>
      <c r="D4" s="2" t="inlineStr"/>
    </row>
    <row r="5">
      <c r="A5" s="2" t="inlineStr">
        <is>
          <t>AF</t>
        </is>
      </c>
      <c r="B5" s="2" t="inlineStr">
        <is>
          <t>AISATS</t>
        </is>
      </c>
      <c r="C5" s="2" t="n">
        <v>1</v>
      </c>
      <c r="D5" s="2" t="inlineStr"/>
    </row>
    <row r="6">
      <c r="A6" s="6" t="inlineStr">
        <is>
          <t>AI</t>
        </is>
      </c>
      <c r="B6" s="6" t="inlineStr">
        <is>
          <t>AISATS</t>
        </is>
      </c>
      <c r="C6" s="6" t="n">
        <v>49</v>
      </c>
      <c r="D6" s="6" t="inlineStr">
        <is>
          <t>YES {'AISATS': 43, 'BFS': 4, 'Ramp 360': 2}</t>
        </is>
      </c>
    </row>
    <row r="7">
      <c r="A7" s="2" t="inlineStr">
        <is>
          <t>AY</t>
        </is>
      </c>
      <c r="B7" s="2" t="inlineStr">
        <is>
          <t>IndiGo</t>
        </is>
      </c>
      <c r="C7" s="2" t="n">
        <v>1</v>
      </c>
      <c r="D7" s="2" t="inlineStr"/>
    </row>
    <row r="8">
      <c r="A8" s="2" t="inlineStr">
        <is>
          <t>AZ</t>
        </is>
      </c>
      <c r="B8" s="2" t="inlineStr">
        <is>
          <t>AISATS</t>
        </is>
      </c>
      <c r="C8" s="2" t="n">
        <v>1</v>
      </c>
      <c r="D8" s="2" t="inlineStr"/>
    </row>
    <row r="9">
      <c r="A9" s="2" t="inlineStr">
        <is>
          <t>B4</t>
        </is>
      </c>
      <c r="B9" s="2" t="inlineStr">
        <is>
          <t>IndiGo</t>
        </is>
      </c>
      <c r="C9" s="2" t="n">
        <v>1</v>
      </c>
      <c r="D9" s="2" t="inlineStr"/>
    </row>
    <row r="10">
      <c r="A10" s="6" t="inlineStr">
        <is>
          <t>BA</t>
        </is>
      </c>
      <c r="B10" s="6" t="inlineStr">
        <is>
          <t>Ramp 360</t>
        </is>
      </c>
      <c r="C10" s="6" t="n">
        <v>2</v>
      </c>
      <c r="D10" s="6" t="inlineStr">
        <is>
          <t>YES {'Ramp 360': 1, 'AISATS': 1}</t>
        </is>
      </c>
    </row>
    <row r="11">
      <c r="A11" s="2" t="inlineStr">
        <is>
          <t>C6</t>
        </is>
      </c>
      <c r="B11" s="2" t="inlineStr">
        <is>
          <t>AISATS</t>
        </is>
      </c>
      <c r="C11" s="2" t="n">
        <v>1</v>
      </c>
      <c r="D11" s="2" t="inlineStr"/>
    </row>
    <row r="12">
      <c r="A12" s="2" t="inlineStr">
        <is>
          <t>CA</t>
        </is>
      </c>
      <c r="B12" s="2" t="inlineStr">
        <is>
          <t>BFS</t>
        </is>
      </c>
      <c r="C12" s="2" t="n">
        <v>1</v>
      </c>
      <c r="D12" s="2" t="inlineStr"/>
    </row>
    <row r="13">
      <c r="A13" s="6" t="inlineStr">
        <is>
          <t>CX</t>
        </is>
      </c>
      <c r="B13" s="6" t="inlineStr">
        <is>
          <t>BFS</t>
        </is>
      </c>
      <c r="C13" s="6" t="n">
        <v>2</v>
      </c>
      <c r="D13" s="6" t="inlineStr">
        <is>
          <t>YES {'BFS': 1, 'AISATS': 1}</t>
        </is>
      </c>
    </row>
    <row r="14">
      <c r="A14" s="2" t="inlineStr">
        <is>
          <t>D7</t>
        </is>
      </c>
      <c r="B14" s="2" t="inlineStr">
        <is>
          <t>AISATS</t>
        </is>
      </c>
      <c r="C14" s="2" t="n">
        <v>1</v>
      </c>
      <c r="D14" s="2" t="inlineStr"/>
    </row>
    <row r="15">
      <c r="A15" s="6" t="inlineStr">
        <is>
          <t>EK</t>
        </is>
      </c>
      <c r="B15" s="6" t="inlineStr">
        <is>
          <t>AISATS</t>
        </is>
      </c>
      <c r="C15" s="6" t="n">
        <v>4</v>
      </c>
      <c r="D15" s="6" t="inlineStr">
        <is>
          <t>YES {'AISATS': 3, 'BFS': 1}</t>
        </is>
      </c>
    </row>
    <row r="16">
      <c r="A16" s="6" t="inlineStr">
        <is>
          <t>ET</t>
        </is>
      </c>
      <c r="B16" s="6" t="inlineStr">
        <is>
          <t>BFS</t>
        </is>
      </c>
      <c r="C16" s="6" t="n">
        <v>2</v>
      </c>
      <c r="D16" s="6" t="inlineStr">
        <is>
          <t>YES {'BFS': 1, 'AISATS': 1}</t>
        </is>
      </c>
    </row>
    <row r="17">
      <c r="A17" s="6" t="inlineStr">
        <is>
          <t>EY</t>
        </is>
      </c>
      <c r="B17" s="6" t="inlineStr">
        <is>
          <t>AISATS</t>
        </is>
      </c>
      <c r="C17" s="6" t="n">
        <v>3</v>
      </c>
      <c r="D17" s="6" t="inlineStr">
        <is>
          <t>YES {'AISATS': 2, 'IndiGo': 1}</t>
        </is>
      </c>
    </row>
    <row r="18">
      <c r="A18" s="2" t="inlineStr">
        <is>
          <t>FG</t>
        </is>
      </c>
      <c r="B18" s="2" t="inlineStr">
        <is>
          <t>BFS</t>
        </is>
      </c>
      <c r="C18" s="2" t="n">
        <v>1</v>
      </c>
      <c r="D18" s="2" t="inlineStr"/>
    </row>
    <row r="19">
      <c r="A19" s="2" t="inlineStr">
        <is>
          <t>FZ</t>
        </is>
      </c>
      <c r="B19" s="2" t="inlineStr">
        <is>
          <t>AISATS</t>
        </is>
      </c>
      <c r="C19" s="2" t="n">
        <v>1</v>
      </c>
      <c r="D19" s="2" t="inlineStr"/>
    </row>
    <row r="20">
      <c r="A20" s="2" t="inlineStr">
        <is>
          <t>G9</t>
        </is>
      </c>
      <c r="B20" s="2" t="inlineStr">
        <is>
          <t>BFS</t>
        </is>
      </c>
      <c r="C20" s="2" t="n">
        <v>2</v>
      </c>
      <c r="D20" s="2" t="inlineStr"/>
    </row>
    <row r="21">
      <c r="A21" s="2" t="inlineStr">
        <is>
          <t>GF</t>
        </is>
      </c>
      <c r="B21" s="2" t="inlineStr">
        <is>
          <t>AISATS</t>
        </is>
      </c>
      <c r="C21" s="2" t="n">
        <v>2</v>
      </c>
      <c r="D21" s="2" t="inlineStr"/>
    </row>
    <row r="22">
      <c r="A22" s="2" t="inlineStr">
        <is>
          <t>IA</t>
        </is>
      </c>
      <c r="B22" s="2" t="inlineStr">
        <is>
          <t>AISATS</t>
        </is>
      </c>
      <c r="C22" s="2" t="n">
        <v>1</v>
      </c>
      <c r="D22" s="2" t="inlineStr"/>
    </row>
    <row r="23">
      <c r="A23" s="2" t="inlineStr">
        <is>
          <t>IX</t>
        </is>
      </c>
      <c r="B23" s="2" t="inlineStr">
        <is>
          <t>AISATS</t>
        </is>
      </c>
      <c r="C23" s="2" t="n">
        <v>3</v>
      </c>
      <c r="D23" s="2" t="inlineStr"/>
    </row>
    <row r="24">
      <c r="A24" s="2" t="inlineStr">
        <is>
          <t>J2</t>
        </is>
      </c>
      <c r="B24" s="2" t="inlineStr">
        <is>
          <t>Ramp 360</t>
        </is>
      </c>
      <c r="C24" s="2" t="n">
        <v>1</v>
      </c>
      <c r="D24" s="2" t="inlineStr"/>
    </row>
    <row r="25">
      <c r="A25" s="2" t="inlineStr">
        <is>
          <t>J9</t>
        </is>
      </c>
      <c r="B25" s="2" t="inlineStr">
        <is>
          <t>IndiGo</t>
        </is>
      </c>
      <c r="C25" s="2" t="n">
        <v>1</v>
      </c>
      <c r="D25" s="2" t="inlineStr"/>
    </row>
    <row r="26">
      <c r="A26" s="2" t="inlineStr">
        <is>
          <t>JL</t>
        </is>
      </c>
      <c r="B26" s="2" t="inlineStr">
        <is>
          <t>BFS</t>
        </is>
      </c>
      <c r="C26" s="2" t="n">
        <v>2</v>
      </c>
      <c r="D26" s="2" t="inlineStr"/>
    </row>
    <row r="27">
      <c r="A27" s="2" t="inlineStr">
        <is>
          <t>K9</t>
        </is>
      </c>
      <c r="B27" s="2" t="inlineStr">
        <is>
          <t>IndiGo</t>
        </is>
      </c>
      <c r="C27" s="2" t="n">
        <v>1</v>
      </c>
      <c r="D27" s="2" t="inlineStr"/>
    </row>
    <row r="28">
      <c r="A28" s="2" t="inlineStr">
        <is>
          <t>KB</t>
        </is>
      </c>
      <c r="B28" s="2" t="inlineStr">
        <is>
          <t>BFS</t>
        </is>
      </c>
      <c r="C28" s="2" t="n">
        <v>1</v>
      </c>
      <c r="D28" s="2" t="inlineStr"/>
    </row>
    <row r="29">
      <c r="A29" s="2" t="inlineStr">
        <is>
          <t>KC</t>
        </is>
      </c>
      <c r="B29" s="2" t="inlineStr">
        <is>
          <t>AISATS</t>
        </is>
      </c>
      <c r="C29" s="2" t="n">
        <v>2</v>
      </c>
      <c r="D29" s="2" t="inlineStr"/>
    </row>
    <row r="30">
      <c r="A30" s="2" t="inlineStr">
        <is>
          <t>KE</t>
        </is>
      </c>
      <c r="B30" s="2" t="inlineStr">
        <is>
          <t>BFS</t>
        </is>
      </c>
      <c r="C30" s="2" t="n">
        <v>1</v>
      </c>
      <c r="D30" s="2" t="inlineStr"/>
    </row>
    <row r="31">
      <c r="A31" s="2" t="inlineStr">
        <is>
          <t>KL</t>
        </is>
      </c>
      <c r="B31" s="2" t="inlineStr">
        <is>
          <t>BFS</t>
        </is>
      </c>
      <c r="C31" s="2" t="n">
        <v>1</v>
      </c>
      <c r="D31" s="2" t="inlineStr"/>
    </row>
    <row r="32">
      <c r="A32" s="2" t="inlineStr">
        <is>
          <t>KU</t>
        </is>
      </c>
      <c r="B32" s="2" t="inlineStr">
        <is>
          <t>BFS</t>
        </is>
      </c>
      <c r="C32" s="2" t="n">
        <v>2</v>
      </c>
      <c r="D32" s="2" t="inlineStr"/>
    </row>
    <row r="33">
      <c r="A33" s="6" t="inlineStr">
        <is>
          <t>LH</t>
        </is>
      </c>
      <c r="B33" s="6" t="inlineStr">
        <is>
          <t>BFS</t>
        </is>
      </c>
      <c r="C33" s="6" t="n">
        <v>2</v>
      </c>
      <c r="D33" s="6" t="inlineStr">
        <is>
          <t>YES {'BFS': 1, 'IndiGo': 1}</t>
        </is>
      </c>
    </row>
    <row r="34">
      <c r="A34" s="2" t="inlineStr">
        <is>
          <t>LO</t>
        </is>
      </c>
      <c r="B34" s="2" t="inlineStr">
        <is>
          <t>IndiGo</t>
        </is>
      </c>
      <c r="C34" s="2" t="n">
        <v>1</v>
      </c>
      <c r="D34" s="2" t="inlineStr"/>
    </row>
    <row r="35">
      <c r="A35" s="6" t="inlineStr">
        <is>
          <t>LX</t>
        </is>
      </c>
      <c r="B35" s="6" t="inlineStr">
        <is>
          <t>AISATS</t>
        </is>
      </c>
      <c r="C35" s="6" t="n">
        <v>2</v>
      </c>
      <c r="D35" s="6" t="inlineStr">
        <is>
          <t>YES {'AISATS': 1, 'BFS': 1}</t>
        </is>
      </c>
    </row>
    <row r="36">
      <c r="A36" s="2" t="inlineStr">
        <is>
          <t>MH</t>
        </is>
      </c>
      <c r="B36" s="2" t="inlineStr">
        <is>
          <t>AISATS</t>
        </is>
      </c>
      <c r="C36" s="2" t="n">
        <v>1</v>
      </c>
      <c r="D36" s="2" t="inlineStr"/>
    </row>
    <row r="37">
      <c r="A37" s="2" t="inlineStr">
        <is>
          <t>MS</t>
        </is>
      </c>
      <c r="B37" s="2" t="inlineStr">
        <is>
          <t>BFS</t>
        </is>
      </c>
      <c r="C37" s="2" t="n">
        <v>1</v>
      </c>
      <c r="D37" s="2" t="inlineStr"/>
    </row>
    <row r="38">
      <c r="A38" s="2" t="inlineStr">
        <is>
          <t>MU</t>
        </is>
      </c>
      <c r="B38" s="2" t="inlineStr">
        <is>
          <t>BFS</t>
        </is>
      </c>
      <c r="C38" s="2" t="n">
        <v>1</v>
      </c>
      <c r="D38" s="2" t="inlineStr"/>
    </row>
    <row r="39">
      <c r="A39" s="2" t="inlineStr">
        <is>
          <t>NH</t>
        </is>
      </c>
      <c r="B39" s="2" t="inlineStr">
        <is>
          <t>AISATS</t>
        </is>
      </c>
      <c r="C39" s="2" t="n">
        <v>1</v>
      </c>
      <c r="D39" s="2" t="inlineStr"/>
    </row>
    <row r="40">
      <c r="A40" s="2" t="inlineStr">
        <is>
          <t>OD</t>
        </is>
      </c>
      <c r="B40" s="2" t="inlineStr">
        <is>
          <t>IndiGo</t>
        </is>
      </c>
      <c r="C40" s="2" t="n">
        <v>1</v>
      </c>
      <c r="D40" s="2" t="inlineStr"/>
    </row>
    <row r="41">
      <c r="A41" s="2" t="inlineStr">
        <is>
          <t>QR</t>
        </is>
      </c>
      <c r="B41" s="2" t="inlineStr">
        <is>
          <t>Ramp 360</t>
        </is>
      </c>
      <c r="C41" s="2" t="n">
        <v>2</v>
      </c>
      <c r="D41" s="2" t="inlineStr"/>
    </row>
    <row r="42">
      <c r="A42" s="2" t="inlineStr">
        <is>
          <t>RA</t>
        </is>
      </c>
      <c r="B42" s="2" t="inlineStr">
        <is>
          <t>BFS</t>
        </is>
      </c>
      <c r="C42" s="2" t="n">
        <v>1</v>
      </c>
      <c r="D42" s="2" t="inlineStr"/>
    </row>
    <row r="43">
      <c r="A43" s="2" t="inlineStr">
        <is>
          <t>RQ</t>
        </is>
      </c>
      <c r="B43" s="2" t="inlineStr">
        <is>
          <t>AISATS</t>
        </is>
      </c>
      <c r="C43" s="2" t="n">
        <v>1</v>
      </c>
      <c r="D43" s="2" t="inlineStr"/>
    </row>
    <row r="44">
      <c r="A44" s="6" t="inlineStr">
        <is>
          <t>SG</t>
        </is>
      </c>
      <c r="B44" s="6" t="inlineStr">
        <is>
          <t>Ramp 360</t>
        </is>
      </c>
      <c r="C44" s="6" t="n">
        <v>2</v>
      </c>
      <c r="D44" s="6" t="inlineStr">
        <is>
          <t>YES {'Ramp 360': 1, 'BFS': 1}</t>
        </is>
      </c>
    </row>
    <row r="45">
      <c r="A45" s="6" t="inlineStr">
        <is>
          <t>SQ</t>
        </is>
      </c>
      <c r="B45" s="6" t="inlineStr">
        <is>
          <t>AISATS</t>
        </is>
      </c>
      <c r="C45" s="6" t="n">
        <v>3</v>
      </c>
      <c r="D45" s="6" t="inlineStr">
        <is>
          <t>YES {'AISATS': 2, 'BFS': 1}</t>
        </is>
      </c>
    </row>
    <row r="46">
      <c r="A46" s="2" t="inlineStr">
        <is>
          <t>SU</t>
        </is>
      </c>
      <c r="B46" s="2" t="inlineStr">
        <is>
          <t>BFS</t>
        </is>
      </c>
      <c r="C46" s="2" t="n">
        <v>1</v>
      </c>
      <c r="D46" s="2" t="inlineStr"/>
    </row>
    <row r="47">
      <c r="A47" s="2" t="inlineStr">
        <is>
          <t>SV</t>
        </is>
      </c>
      <c r="B47" s="2" t="inlineStr">
        <is>
          <t>AISATS</t>
        </is>
      </c>
      <c r="C47" s="2" t="n">
        <v>2</v>
      </c>
      <c r="D47" s="2" t="inlineStr"/>
    </row>
    <row r="48">
      <c r="A48" s="6" t="inlineStr">
        <is>
          <t>TG</t>
        </is>
      </c>
      <c r="B48" s="6" t="inlineStr">
        <is>
          <t>BFS</t>
        </is>
      </c>
      <c r="C48" s="6" t="n">
        <v>3</v>
      </c>
      <c r="D48" s="6" t="inlineStr">
        <is>
          <t>YES {'BFS': 2, 'AISATS': 1}</t>
        </is>
      </c>
    </row>
    <row r="49">
      <c r="A49" s="2" t="inlineStr">
        <is>
          <t>TK</t>
        </is>
      </c>
      <c r="B49" s="2" t="inlineStr">
        <is>
          <t>Ramp 360</t>
        </is>
      </c>
      <c r="C49" s="2" t="n">
        <v>1</v>
      </c>
      <c r="D49" s="2" t="inlineStr"/>
    </row>
    <row r="50">
      <c r="A50" s="2" t="inlineStr">
        <is>
          <t>UA</t>
        </is>
      </c>
      <c r="B50" s="2" t="inlineStr">
        <is>
          <t>AISATS</t>
        </is>
      </c>
      <c r="C50" s="2" t="n">
        <v>1</v>
      </c>
      <c r="D50" s="2" t="inlineStr"/>
    </row>
    <row r="51">
      <c r="A51" s="2" t="inlineStr">
        <is>
          <t>UL</t>
        </is>
      </c>
      <c r="B51" s="2" t="inlineStr">
        <is>
          <t>BFS</t>
        </is>
      </c>
      <c r="C51" s="2" t="n">
        <v>2</v>
      </c>
      <c r="D51" s="2" t="inlineStr"/>
    </row>
    <row r="52">
      <c r="A52" s="2" t="inlineStr">
        <is>
          <t>VJ</t>
        </is>
      </c>
      <c r="B52" s="2" t="inlineStr">
        <is>
          <t>BFS</t>
        </is>
      </c>
      <c r="C52" s="2" t="n">
        <v>1</v>
      </c>
      <c r="D52" s="2" t="inlineStr"/>
    </row>
    <row r="53">
      <c r="A53" s="2" t="inlineStr">
        <is>
          <t>VN</t>
        </is>
      </c>
      <c r="B53" s="2" t="inlineStr">
        <is>
          <t>BFS</t>
        </is>
      </c>
      <c r="C53" s="2" t="n">
        <v>1</v>
      </c>
      <c r="D53" s="2" t="inlineStr"/>
    </row>
    <row r="54">
      <c r="A54" s="6" t="inlineStr">
        <is>
          <t>VS</t>
        </is>
      </c>
      <c r="B54" s="6" t="inlineStr">
        <is>
          <t>AISATS</t>
        </is>
      </c>
      <c r="C54" s="6" t="n">
        <v>2</v>
      </c>
      <c r="D54" s="6" t="inlineStr">
        <is>
          <t>YES {'AISATS': 1, 'IndiGo': 1}</t>
        </is>
      </c>
    </row>
    <row r="55">
      <c r="A55" s="2" t="inlineStr">
        <is>
          <t>W5</t>
        </is>
      </c>
      <c r="B55" s="2" t="inlineStr">
        <is>
          <t>AISATS</t>
        </is>
      </c>
      <c r="C55" s="2" t="n">
        <v>1</v>
      </c>
      <c r="D55" s="2" t="inlineStr"/>
    </row>
    <row r="56">
      <c r="A56" s="6" t="inlineStr">
        <is>
          <t>WY</t>
        </is>
      </c>
      <c r="B56" s="6" t="inlineStr">
        <is>
          <t>AISATS</t>
        </is>
      </c>
      <c r="C56" s="6" t="n">
        <v>2</v>
      </c>
      <c r="D56" s="6" t="inlineStr">
        <is>
          <t>YES {'AISATS': 1, 'IndiGo': 1}</t>
        </is>
      </c>
    </row>
    <row r="57">
      <c r="A57" s="2" t="inlineStr">
        <is>
          <t>XJ</t>
        </is>
      </c>
      <c r="B57" s="2" t="inlineStr">
        <is>
          <t>BFS</t>
        </is>
      </c>
      <c r="C57" s="2" t="n">
        <v>1</v>
      </c>
      <c r="D57" s="2" t="inlineStr"/>
    </row>
    <row r="58">
      <c r="A58" s="2" t="inlineStr">
        <is>
          <t>XY</t>
        </is>
      </c>
      <c r="B58" s="2" t="inlineStr">
        <is>
          <t>AISATS</t>
        </is>
      </c>
      <c r="C58" s="2" t="n">
        <v>1</v>
      </c>
      <c r="D5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</cols>
  <sheetData>
    <row r="1">
      <c r="A1" s="1" t="inlineStr">
        <is>
          <t>Flight #</t>
        </is>
      </c>
      <c r="B1" s="1" t="inlineStr">
        <is>
          <t>SOBT</t>
        </is>
      </c>
      <c r="C1" s="1" t="inlineStr">
        <is>
          <t>Counter Open (SOBT-4)</t>
        </is>
      </c>
      <c r="D1" s="1" t="inlineStr">
        <is>
          <t>Counter Close (SOBT-1)</t>
        </is>
      </c>
    </row>
    <row r="2">
      <c r="A2" s="2" t="inlineStr">
        <is>
          <t>AI 173</t>
        </is>
      </c>
      <c r="B2" s="3" t="n">
        <v>36527.00347222222</v>
      </c>
      <c r="C2" s="3" t="n">
        <v>36526.83680555555</v>
      </c>
      <c r="D2" s="3" t="n">
        <v>36526.96180555555</v>
      </c>
    </row>
    <row r="3">
      <c r="A3" s="2" t="inlineStr">
        <is>
          <t>AI 312</t>
        </is>
      </c>
      <c r="B3" s="3" t="n">
        <v>36527.00347222222</v>
      </c>
      <c r="C3" s="3" t="n">
        <v>36526.83680555555</v>
      </c>
      <c r="D3" s="3" t="n">
        <v>36526.96180555555</v>
      </c>
    </row>
    <row r="4">
      <c r="A4" s="2" t="inlineStr">
        <is>
          <t>VJ 972</t>
        </is>
      </c>
      <c r="B4" s="3" t="n">
        <v>36527.00347222222</v>
      </c>
      <c r="C4" s="3" t="n">
        <v>36526.83680555555</v>
      </c>
      <c r="D4" s="3" t="n">
        <v>36526.96180555555</v>
      </c>
    </row>
    <row r="5">
      <c r="A5" s="2" t="inlineStr">
        <is>
          <t>AI 187</t>
        </is>
      </c>
      <c r="B5" s="3" t="n">
        <v>36527.00694444445</v>
      </c>
      <c r="C5" s="3" t="n">
        <v>36526.84027777778</v>
      </c>
      <c r="D5" s="3" t="n">
        <v>36526.96527777778</v>
      </c>
    </row>
    <row r="6">
      <c r="A6" s="2" t="inlineStr">
        <is>
          <t>AI 161</t>
        </is>
      </c>
      <c r="B6" s="3" t="n">
        <v>36527.02083333334</v>
      </c>
      <c r="C6" s="3" t="n">
        <v>36526.85416666666</v>
      </c>
      <c r="D6" s="3" t="n">
        <v>36526.97916666666</v>
      </c>
    </row>
    <row r="7">
      <c r="A7" s="2" t="inlineStr">
        <is>
          <t>AI 2336</t>
        </is>
      </c>
      <c r="B7" s="3" t="n">
        <v>36527.02083333334</v>
      </c>
      <c r="C7" s="3" t="n">
        <v>36526.85416666666</v>
      </c>
      <c r="D7" s="3" t="n">
        <v>36526.97916666666</v>
      </c>
    </row>
    <row r="8">
      <c r="A8" s="2" t="inlineStr">
        <is>
          <t>AI 2118</t>
        </is>
      </c>
      <c r="B8" s="3" t="n">
        <v>36527.02777777778</v>
      </c>
      <c r="C8" s="3" t="n">
        <v>36526.86111111111</v>
      </c>
      <c r="D8" s="3" t="n">
        <v>36526.98611111111</v>
      </c>
    </row>
    <row r="9">
      <c r="A9" s="2" t="inlineStr">
        <is>
          <t>AF 283</t>
        </is>
      </c>
      <c r="B9" s="3" t="n">
        <v>36527.03472222222</v>
      </c>
      <c r="C9" s="3" t="n">
        <v>36526.86805555555</v>
      </c>
      <c r="D9" s="3" t="n">
        <v>36526.99305555555</v>
      </c>
    </row>
    <row r="10">
      <c r="A10" s="2" t="inlineStr">
        <is>
          <t>AI 302</t>
        </is>
      </c>
      <c r="B10" s="3" t="n">
        <v>36527.03819444445</v>
      </c>
      <c r="C10" s="3" t="n">
        <v>36526.87152777778</v>
      </c>
      <c r="D10" s="3" t="n">
        <v>36526.99652777778</v>
      </c>
    </row>
    <row r="11">
      <c r="A11" s="2" t="inlineStr">
        <is>
          <t>AI 277</t>
        </is>
      </c>
      <c r="B11" s="3" t="n">
        <v>36527.04166666666</v>
      </c>
      <c r="C11" s="3" t="n">
        <v>36526.875</v>
      </c>
      <c r="D11" s="3" t="n">
        <v>36527</v>
      </c>
    </row>
    <row r="12">
      <c r="A12" s="2" t="inlineStr">
        <is>
          <t>LX 147</t>
        </is>
      </c>
      <c r="B12" s="3" t="n">
        <v>36527.04513888889</v>
      </c>
      <c r="C12" s="3" t="n">
        <v>36526.87847222222</v>
      </c>
      <c r="D12" s="3" t="n">
        <v>36527.00347222222</v>
      </c>
    </row>
    <row r="13">
      <c r="A13" s="2" t="inlineStr">
        <is>
          <t>CX 694</t>
        </is>
      </c>
      <c r="B13" s="3" t="n">
        <v>36527.04861111111</v>
      </c>
      <c r="C13" s="3" t="n">
        <v>36526.88194444445</v>
      </c>
      <c r="D13" s="3" t="n">
        <v>36527.00694444445</v>
      </c>
    </row>
    <row r="14">
      <c r="A14" s="2" t="inlineStr">
        <is>
          <t>KC 964</t>
        </is>
      </c>
      <c r="B14" s="3" t="n">
        <v>36527.04861111111</v>
      </c>
      <c r="C14" s="3" t="n">
        <v>36526.88194444445</v>
      </c>
      <c r="D14" s="3" t="n">
        <v>36527.00694444445</v>
      </c>
    </row>
    <row r="15">
      <c r="A15" s="2" t="inlineStr">
        <is>
          <t>AI 308</t>
        </is>
      </c>
      <c r="B15" s="3" t="n">
        <v>36527.05208333334</v>
      </c>
      <c r="C15" s="3" t="n">
        <v>36526.88541666666</v>
      </c>
      <c r="D15" s="3" t="n">
        <v>36527.01041666666</v>
      </c>
    </row>
    <row r="16">
      <c r="A16" s="2" t="inlineStr">
        <is>
          <t>AI 2390</t>
        </is>
      </c>
      <c r="B16" s="3" t="n">
        <v>36527.05555555555</v>
      </c>
      <c r="C16" s="3" t="n">
        <v>36526.88888888889</v>
      </c>
      <c r="D16" s="3" t="n">
        <v>36527.01388888889</v>
      </c>
    </row>
    <row r="17">
      <c r="A17" s="2" t="inlineStr">
        <is>
          <t>AI 2378</t>
        </is>
      </c>
      <c r="B17" s="3" t="n">
        <v>36527.05902777778</v>
      </c>
      <c r="C17" s="3" t="n">
        <v>36526.89236111111</v>
      </c>
      <c r="D17" s="3" t="n">
        <v>36527.01736111111</v>
      </c>
    </row>
    <row r="18">
      <c r="A18" s="2" t="inlineStr">
        <is>
          <t>BA 142</t>
        </is>
      </c>
      <c r="B18" s="3" t="n">
        <v>36527.06597222222</v>
      </c>
      <c r="C18" s="3" t="n">
        <v>36526.89930555555</v>
      </c>
      <c r="D18" s="3" t="n">
        <v>36527.02430555555</v>
      </c>
    </row>
    <row r="19">
      <c r="A19" s="2" t="inlineStr">
        <is>
          <t>LX 2647</t>
        </is>
      </c>
      <c r="B19" s="3" t="n">
        <v>36527.06944444445</v>
      </c>
      <c r="C19" s="3" t="n">
        <v>36526.90277777778</v>
      </c>
      <c r="D19" s="3" t="n">
        <v>36527.02777777778</v>
      </c>
    </row>
    <row r="20">
      <c r="A20" s="2" t="inlineStr">
        <is>
          <t>LH 763</t>
        </is>
      </c>
      <c r="B20" s="3" t="n">
        <v>36527.07291666666</v>
      </c>
      <c r="C20" s="3" t="n">
        <v>36526.90625</v>
      </c>
      <c r="D20" s="3" t="n">
        <v>36527.03125</v>
      </c>
    </row>
    <row r="21">
      <c r="A21" s="2" t="inlineStr">
        <is>
          <t>AI 4307</t>
        </is>
      </c>
      <c r="B21" s="3" t="n">
        <v>36527.08333333334</v>
      </c>
      <c r="C21" s="3" t="n">
        <v>36526.91666666666</v>
      </c>
      <c r="D21" s="3" t="n">
        <v>36527.04166666666</v>
      </c>
    </row>
    <row r="22">
      <c r="A22" s="2" t="inlineStr">
        <is>
          <t>VS 303</t>
        </is>
      </c>
      <c r="B22" s="3" t="n">
        <v>36527.08680555555</v>
      </c>
      <c r="C22" s="3" t="n">
        <v>36526.92013888889</v>
      </c>
      <c r="D22" s="3" t="n">
        <v>36527.04513888889</v>
      </c>
    </row>
    <row r="23">
      <c r="A23" s="2" t="inlineStr">
        <is>
          <t>ET 687</t>
        </is>
      </c>
      <c r="B23" s="3" t="n">
        <v>36527.10416666666</v>
      </c>
      <c r="C23" s="3" t="n">
        <v>36526.9375</v>
      </c>
      <c r="D23" s="3" t="n">
        <v>36527.0625</v>
      </c>
    </row>
    <row r="24">
      <c r="A24" s="2" t="inlineStr">
        <is>
          <t>6E 033</t>
        </is>
      </c>
      <c r="B24" s="3" t="n">
        <v>36527.11111111111</v>
      </c>
      <c r="C24" s="3" t="n">
        <v>36526.94444444445</v>
      </c>
      <c r="D24" s="3" t="n">
        <v>36527.06944444445</v>
      </c>
    </row>
    <row r="25">
      <c r="A25" s="2" t="inlineStr">
        <is>
          <t>LH 761</t>
        </is>
      </c>
      <c r="B25" s="3" t="n">
        <v>36527.11805555555</v>
      </c>
      <c r="C25" s="3" t="n">
        <v>36526.95138888889</v>
      </c>
      <c r="D25" s="3" t="n">
        <v>36527.07638888889</v>
      </c>
    </row>
    <row r="26">
      <c r="A26" s="2" t="inlineStr">
        <is>
          <t>AI 2147</t>
        </is>
      </c>
      <c r="B26" s="3" t="n">
        <v>36527.12152777778</v>
      </c>
      <c r="C26" s="3" t="n">
        <v>36526.95486111111</v>
      </c>
      <c r="D26" s="3" t="n">
        <v>36527.07986111111</v>
      </c>
    </row>
    <row r="27">
      <c r="A27" s="2" t="inlineStr">
        <is>
          <t>AZ 769</t>
        </is>
      </c>
      <c r="B27" s="3" t="n">
        <v>36527.125</v>
      </c>
      <c r="C27" s="3" t="n">
        <v>36526.95833333334</v>
      </c>
      <c r="D27" s="3" t="n">
        <v>36527.08333333334</v>
      </c>
    </row>
    <row r="28">
      <c r="A28" s="2" t="inlineStr">
        <is>
          <t>KU 382</t>
        </is>
      </c>
      <c r="B28" s="3" t="n">
        <v>36527.125</v>
      </c>
      <c r="C28" s="3" t="n">
        <v>36526.95833333334</v>
      </c>
      <c r="D28" s="3" t="n">
        <v>36527.08333333334</v>
      </c>
    </row>
    <row r="29">
      <c r="A29" s="2" t="inlineStr">
        <is>
          <t>AI 2025</t>
        </is>
      </c>
      <c r="B29" s="3" t="n">
        <v>36527.12847222222</v>
      </c>
      <c r="C29" s="3" t="n">
        <v>36526.96180555555</v>
      </c>
      <c r="D29" s="3" t="n">
        <v>36527.08680555555</v>
      </c>
    </row>
    <row r="30">
      <c r="A30" s="2" t="inlineStr">
        <is>
          <t>TG 332</t>
        </is>
      </c>
      <c r="B30" s="3" t="n">
        <v>36527.13888888889</v>
      </c>
      <c r="C30" s="3" t="n">
        <v>36526.97222222222</v>
      </c>
      <c r="D30" s="3" t="n">
        <v>36527.09722222222</v>
      </c>
    </row>
    <row r="31">
      <c r="A31" s="2" t="inlineStr">
        <is>
          <t>QR 579</t>
        </is>
      </c>
      <c r="B31" s="3" t="n">
        <v>36527.14236111111</v>
      </c>
      <c r="C31" s="3" t="n">
        <v>36526.97569444445</v>
      </c>
      <c r="D31" s="3" t="n">
        <v>36527.10069444445</v>
      </c>
    </row>
    <row r="32">
      <c r="A32" s="2" t="inlineStr">
        <is>
          <t>AI 2115</t>
        </is>
      </c>
      <c r="B32" s="3" t="n">
        <v>36527.14930555555</v>
      </c>
      <c r="C32" s="3" t="n">
        <v>36526.98263888889</v>
      </c>
      <c r="D32" s="3" t="n">
        <v>36527.10763888889</v>
      </c>
    </row>
    <row r="33">
      <c r="A33" s="2" t="inlineStr">
        <is>
          <t>AI 185</t>
        </is>
      </c>
      <c r="B33" s="3" t="n">
        <v>36527.16319444445</v>
      </c>
      <c r="C33" s="3" t="n">
        <v>36526.99652777778</v>
      </c>
      <c r="D33" s="3" t="n">
        <v>36527.12152777778</v>
      </c>
    </row>
    <row r="34">
      <c r="A34" s="2" t="inlineStr">
        <is>
          <t>KL 872</t>
        </is>
      </c>
      <c r="B34" s="3" t="n">
        <v>36527.16319444445</v>
      </c>
      <c r="C34" s="3" t="n">
        <v>36526.99652777778</v>
      </c>
      <c r="D34" s="3" t="n">
        <v>36527.12152777778</v>
      </c>
    </row>
    <row r="35">
      <c r="A35" s="2" t="inlineStr">
        <is>
          <t>FZ 442</t>
        </is>
      </c>
      <c r="B35" s="3" t="n">
        <v>36527.17361111111</v>
      </c>
      <c r="C35" s="3" t="n">
        <v>36527.00694444445</v>
      </c>
      <c r="D35" s="3" t="n">
        <v>36527.13194444445</v>
      </c>
    </row>
    <row r="36">
      <c r="A36" s="2" t="inlineStr">
        <is>
          <t>XY 330</t>
        </is>
      </c>
      <c r="B36" s="3" t="n">
        <v>36527.17708333334</v>
      </c>
      <c r="C36" s="3" t="n">
        <v>36527.01041666666</v>
      </c>
      <c r="D36" s="3" t="n">
        <v>36527.13541666666</v>
      </c>
    </row>
    <row r="37">
      <c r="A37" s="2" t="inlineStr">
        <is>
          <t>6E 1635</t>
        </is>
      </c>
      <c r="B37" s="3" t="n">
        <v>36527.18055555555</v>
      </c>
      <c r="C37" s="3" t="n">
        <v>36527.01388888889</v>
      </c>
      <c r="D37" s="3" t="n">
        <v>36527.13888888889</v>
      </c>
    </row>
    <row r="38">
      <c r="A38" s="2" t="inlineStr">
        <is>
          <t>EK 513</t>
        </is>
      </c>
      <c r="B38" s="3" t="n">
        <v>36527.18402777778</v>
      </c>
      <c r="C38" s="3" t="n">
        <v>36527.01736111111</v>
      </c>
      <c r="D38" s="3" t="n">
        <v>36527.14236111111</v>
      </c>
    </row>
    <row r="39">
      <c r="A39" s="2" t="inlineStr">
        <is>
          <t>AI 215</t>
        </is>
      </c>
      <c r="B39" s="3" t="n">
        <v>36527.1875</v>
      </c>
      <c r="C39" s="3" t="n">
        <v>36527.02083333334</v>
      </c>
      <c r="D39" s="3" t="n">
        <v>36527.14583333334</v>
      </c>
    </row>
    <row r="40">
      <c r="A40" s="2" t="inlineStr">
        <is>
          <t>AI 111</t>
        </is>
      </c>
      <c r="B40" s="3" t="n">
        <v>36527.19097222222</v>
      </c>
      <c r="C40" s="3" t="n">
        <v>36527.02430555555</v>
      </c>
      <c r="D40" s="3" t="n">
        <v>36527.14930555555</v>
      </c>
    </row>
    <row r="41">
      <c r="A41" s="2" t="inlineStr">
        <is>
          <t>JL 740</t>
        </is>
      </c>
      <c r="B41" s="3" t="n">
        <v>36527.19097222222</v>
      </c>
      <c r="C41" s="3" t="n">
        <v>36527.02430555555</v>
      </c>
      <c r="D41" s="3" t="n">
        <v>36527.14930555555</v>
      </c>
    </row>
    <row r="42">
      <c r="A42" s="2" t="inlineStr">
        <is>
          <t>G9 464</t>
        </is>
      </c>
      <c r="B42" s="3" t="n">
        <v>36527.19444444445</v>
      </c>
      <c r="C42" s="3" t="n">
        <v>36527.02777777778</v>
      </c>
      <c r="D42" s="3" t="n">
        <v>36527.15277777778</v>
      </c>
    </row>
    <row r="43">
      <c r="A43" s="2" t="inlineStr">
        <is>
          <t>EY 219</t>
        </is>
      </c>
      <c r="B43" s="3" t="n">
        <v>36527.20138888889</v>
      </c>
      <c r="C43" s="3" t="n">
        <v>36527.03472222222</v>
      </c>
      <c r="D43" s="3" t="n">
        <v>36527.15972222222</v>
      </c>
    </row>
    <row r="44">
      <c r="A44" s="2" t="inlineStr">
        <is>
          <t>GF 131</t>
        </is>
      </c>
      <c r="B44" s="3" t="n">
        <v>36527.20486111111</v>
      </c>
      <c r="C44" s="3" t="n">
        <v>36527.03819444445</v>
      </c>
      <c r="D44" s="3" t="n">
        <v>36527.16319444445</v>
      </c>
    </row>
    <row r="45">
      <c r="A45" s="2" t="inlineStr">
        <is>
          <t>6E 1633</t>
        </is>
      </c>
      <c r="B45" s="3" t="n">
        <v>36527.20833333334</v>
      </c>
      <c r="C45" s="3" t="n">
        <v>36527.04166666666</v>
      </c>
      <c r="D45" s="3" t="n">
        <v>36527.16666666666</v>
      </c>
    </row>
    <row r="46">
      <c r="A46" s="2" t="inlineStr">
        <is>
          <t>AI 4305</t>
        </is>
      </c>
      <c r="B46" s="3" t="n">
        <v>36527.21180555555</v>
      </c>
      <c r="C46" s="3" t="n">
        <v>36527.04513888889</v>
      </c>
      <c r="D46" s="3" t="n">
        <v>36527.17013888889</v>
      </c>
    </row>
    <row r="47">
      <c r="A47" s="2" t="inlineStr">
        <is>
          <t>J2 058</t>
        </is>
      </c>
      <c r="B47" s="3" t="n">
        <v>36527.21527777778</v>
      </c>
      <c r="C47" s="3" t="n">
        <v>36527.04861111111</v>
      </c>
      <c r="D47" s="3" t="n">
        <v>36527.17361111111</v>
      </c>
    </row>
    <row r="48">
      <c r="A48" s="2" t="inlineStr">
        <is>
          <t>6E 1073</t>
        </is>
      </c>
      <c r="B48" s="3" t="n">
        <v>36527.21527777778</v>
      </c>
      <c r="C48" s="3" t="n">
        <v>36527.04861111111</v>
      </c>
      <c r="D48" s="3" t="n">
        <v>36527.17361111111</v>
      </c>
    </row>
    <row r="49">
      <c r="A49" s="2" t="inlineStr">
        <is>
          <t>UL 192</t>
        </is>
      </c>
      <c r="B49" s="3" t="n">
        <v>36527.21875</v>
      </c>
      <c r="C49" s="3" t="n">
        <v>36527.05208333334</v>
      </c>
      <c r="D49" s="3" t="n">
        <v>36527.17708333334</v>
      </c>
    </row>
    <row r="50">
      <c r="A50" s="2" t="inlineStr">
        <is>
          <t>KU 384</t>
        </is>
      </c>
      <c r="B50" s="3" t="n">
        <v>36527.25347222222</v>
      </c>
      <c r="C50" s="3" t="n">
        <v>36527.08680555555</v>
      </c>
      <c r="D50" s="3" t="n">
        <v>36527.21180555555</v>
      </c>
    </row>
    <row r="51">
      <c r="A51" s="2" t="inlineStr">
        <is>
          <t>6E 1721</t>
        </is>
      </c>
      <c r="B51" s="3" t="n">
        <v>36527.26041666666</v>
      </c>
      <c r="C51" s="3" t="n">
        <v>36527.09375</v>
      </c>
      <c r="D51" s="3" t="n">
        <v>36527.21875</v>
      </c>
    </row>
    <row r="52">
      <c r="A52" s="2" t="inlineStr">
        <is>
          <t>TK 717</t>
        </is>
      </c>
      <c r="B52" s="3" t="n">
        <v>36527.27083333334</v>
      </c>
      <c r="C52" s="3" t="n">
        <v>36527.10416666666</v>
      </c>
      <c r="D52" s="3" t="n">
        <v>36527.22916666666</v>
      </c>
    </row>
    <row r="53">
      <c r="A53" s="2" t="inlineStr">
        <is>
          <t>6E 1611</t>
        </is>
      </c>
      <c r="B53" s="3" t="n">
        <v>36527.27777777778</v>
      </c>
      <c r="C53" s="3" t="n">
        <v>36527.11111111111</v>
      </c>
      <c r="D53" s="3" t="n">
        <v>36527.23611111111</v>
      </c>
    </row>
    <row r="54">
      <c r="A54" s="2" t="inlineStr">
        <is>
          <t>6E 1063</t>
        </is>
      </c>
      <c r="B54" s="3" t="n">
        <v>36527.28472222222</v>
      </c>
      <c r="C54" s="3" t="n">
        <v>36527.11805555555</v>
      </c>
      <c r="D54" s="3" t="n">
        <v>36527.24305555555</v>
      </c>
    </row>
    <row r="55">
      <c r="A55" s="2" t="inlineStr">
        <is>
          <t>6E 1069</t>
        </is>
      </c>
      <c r="B55" s="3" t="n">
        <v>36527.28472222222</v>
      </c>
      <c r="C55" s="3" t="n">
        <v>36527.11805555555</v>
      </c>
      <c r="D55" s="3" t="n">
        <v>36527.24305555555</v>
      </c>
    </row>
    <row r="56">
      <c r="A56" s="2" t="inlineStr">
        <is>
          <t>AI 213</t>
        </is>
      </c>
      <c r="B56" s="3" t="n">
        <v>36527.29166666666</v>
      </c>
      <c r="C56" s="3" t="n">
        <v>36527.125</v>
      </c>
      <c r="D56" s="3" t="n">
        <v>36527.25</v>
      </c>
    </row>
    <row r="57">
      <c r="A57" s="2" t="inlineStr">
        <is>
          <t>6E 1901</t>
        </is>
      </c>
      <c r="B57" s="3" t="n">
        <v>36527.3125</v>
      </c>
      <c r="C57" s="3" t="n">
        <v>36527.14583333334</v>
      </c>
      <c r="D57" s="3" t="n">
        <v>36527.27083333334</v>
      </c>
    </row>
    <row r="58">
      <c r="A58" s="2" t="inlineStr">
        <is>
          <t>AY 122</t>
        </is>
      </c>
      <c r="B58" s="3" t="n">
        <v>36527.31944444445</v>
      </c>
      <c r="C58" s="3" t="n">
        <v>36527.15277777778</v>
      </c>
      <c r="D58" s="3" t="n">
        <v>36527.27777777778</v>
      </c>
    </row>
    <row r="59">
      <c r="A59" s="2" t="inlineStr">
        <is>
          <t>6E 011</t>
        </is>
      </c>
      <c r="B59" s="3" t="n">
        <v>36527.32291666666</v>
      </c>
      <c r="C59" s="3" t="n">
        <v>36527.15625</v>
      </c>
      <c r="D59" s="3" t="n">
        <v>36527.28125</v>
      </c>
    </row>
    <row r="60">
      <c r="A60" s="2" t="inlineStr">
        <is>
          <t>J9 410</t>
        </is>
      </c>
      <c r="B60" s="3" t="n">
        <v>36527.32291666666</v>
      </c>
      <c r="C60" s="3" t="n">
        <v>36527.15625</v>
      </c>
      <c r="D60" s="3" t="n">
        <v>36527.28125</v>
      </c>
    </row>
    <row r="61">
      <c r="A61" s="2" t="inlineStr">
        <is>
          <t>SG 5111</t>
        </is>
      </c>
      <c r="B61" s="3" t="n">
        <v>36527.32291666666</v>
      </c>
      <c r="C61" s="3" t="n">
        <v>36527.15625</v>
      </c>
      <c r="D61" s="3" t="n">
        <v>36527.28125</v>
      </c>
    </row>
    <row r="62">
      <c r="A62" s="2" t="inlineStr">
        <is>
          <t>SU 233</t>
        </is>
      </c>
      <c r="B62" s="3" t="n">
        <v>36527.32638888889</v>
      </c>
      <c r="C62" s="3" t="n">
        <v>36527.15972222222</v>
      </c>
      <c r="D62" s="3" t="n">
        <v>36527.28472222222</v>
      </c>
    </row>
    <row r="63">
      <c r="A63" s="2" t="inlineStr">
        <is>
          <t>LO 072</t>
        </is>
      </c>
      <c r="B63" s="3" t="n">
        <v>36527.33333333334</v>
      </c>
      <c r="C63" s="3" t="n">
        <v>36527.16666666666</v>
      </c>
      <c r="D63" s="3" t="n">
        <v>36527.29166666666</v>
      </c>
    </row>
    <row r="64">
      <c r="A64" s="2" t="inlineStr">
        <is>
          <t>AI 2355</t>
        </is>
      </c>
      <c r="B64" s="3" t="n">
        <v>36527.35069444445</v>
      </c>
      <c r="C64" s="3" t="n">
        <v>36527.18402777778</v>
      </c>
      <c r="D64" s="3" t="n">
        <v>36527.30902777778</v>
      </c>
    </row>
    <row r="65">
      <c r="A65" s="2" t="inlineStr">
        <is>
          <t>IX 179</t>
        </is>
      </c>
      <c r="B65" s="3" t="n">
        <v>36527.35069444445</v>
      </c>
      <c r="C65" s="3" t="n">
        <v>36527.18402777778</v>
      </c>
      <c r="D65" s="3" t="n">
        <v>36527.30902777778</v>
      </c>
    </row>
    <row r="66">
      <c r="A66" s="2" t="inlineStr">
        <is>
          <t>6E 1461</t>
        </is>
      </c>
      <c r="B66" s="3" t="n">
        <v>36527.35763888889</v>
      </c>
      <c r="C66" s="3" t="n">
        <v>36527.19097222222</v>
      </c>
      <c r="D66" s="3" t="n">
        <v>36527.31597222222</v>
      </c>
    </row>
    <row r="67">
      <c r="A67" s="2" t="inlineStr">
        <is>
          <t>WY 242</t>
        </is>
      </c>
      <c r="B67" s="3" t="n">
        <v>36527.37152777778</v>
      </c>
      <c r="C67" s="3" t="n">
        <v>36527.20486111111</v>
      </c>
      <c r="D67" s="3" t="n">
        <v>36527.32986111111</v>
      </c>
    </row>
    <row r="68">
      <c r="A68" s="2" t="inlineStr">
        <is>
          <t>SQ 401</t>
        </is>
      </c>
      <c r="B68" s="3" t="n">
        <v>36527.375</v>
      </c>
      <c r="C68" s="3" t="n">
        <v>36527.20833333334</v>
      </c>
      <c r="D68" s="3" t="n">
        <v>36527.33333333334</v>
      </c>
    </row>
    <row r="69">
      <c r="A69" s="2" t="inlineStr">
        <is>
          <t>6E 1013</t>
        </is>
      </c>
      <c r="B69" s="3" t="n">
        <v>36527.37847222222</v>
      </c>
      <c r="C69" s="3" t="n">
        <v>36527.21180555555</v>
      </c>
      <c r="D69" s="3" t="n">
        <v>36527.33680555555</v>
      </c>
    </row>
    <row r="70">
      <c r="A70" s="2" t="inlineStr">
        <is>
          <t>EY 213</t>
        </is>
      </c>
      <c r="B70" s="3" t="n">
        <v>36527.39236111111</v>
      </c>
      <c r="C70" s="3" t="n">
        <v>36527.22569444445</v>
      </c>
      <c r="D70" s="3" t="n">
        <v>36527.35069444445</v>
      </c>
    </row>
    <row r="71">
      <c r="A71" s="2" t="inlineStr">
        <is>
          <t>W5 070</t>
        </is>
      </c>
      <c r="B71" s="3" t="n">
        <v>36527.39583333334</v>
      </c>
      <c r="C71" s="3" t="n">
        <v>36527.22916666666</v>
      </c>
      <c r="D71" s="3" t="n">
        <v>36527.35416666666</v>
      </c>
    </row>
    <row r="72">
      <c r="A72" s="2" t="inlineStr">
        <is>
          <t>ET 689</t>
        </is>
      </c>
      <c r="B72" s="3" t="n">
        <v>36527.39930555555</v>
      </c>
      <c r="C72" s="3" t="n">
        <v>36527.23263888889</v>
      </c>
      <c r="D72" s="3" t="n">
        <v>36527.35763888889</v>
      </c>
    </row>
    <row r="73">
      <c r="A73" s="2" t="inlineStr">
        <is>
          <t>AI 917</t>
        </is>
      </c>
      <c r="B73" s="3" t="n">
        <v>36527.40972222222</v>
      </c>
      <c r="C73" s="3" t="n">
        <v>36527.24305555555</v>
      </c>
      <c r="D73" s="3" t="n">
        <v>36527.36805555555</v>
      </c>
    </row>
    <row r="74">
      <c r="A74" s="2" t="inlineStr">
        <is>
          <t>BA 256</t>
        </is>
      </c>
      <c r="B74" s="3" t="n">
        <v>36527.42013888889</v>
      </c>
      <c r="C74" s="3" t="n">
        <v>36527.25347222222</v>
      </c>
      <c r="D74" s="3" t="n">
        <v>36527.37847222222</v>
      </c>
    </row>
    <row r="75">
      <c r="A75" s="2" t="inlineStr">
        <is>
          <t>QR 571</t>
        </is>
      </c>
      <c r="B75" s="3" t="n">
        <v>36527.43402777778</v>
      </c>
      <c r="C75" s="3" t="n">
        <v>36527.26736111111</v>
      </c>
      <c r="D75" s="3" t="n">
        <v>36527.39236111111</v>
      </c>
    </row>
    <row r="76">
      <c r="A76" s="2" t="inlineStr">
        <is>
          <t>AI 4209</t>
        </is>
      </c>
      <c r="B76" s="3" t="n">
        <v>36527.44097222222</v>
      </c>
      <c r="C76" s="3" t="n">
        <v>36527.27430555555</v>
      </c>
      <c r="D76" s="3" t="n">
        <v>36527.39930555555</v>
      </c>
    </row>
    <row r="77">
      <c r="A77" s="2" t="inlineStr">
        <is>
          <t>AI 113</t>
        </is>
      </c>
      <c r="B77" s="3" t="n">
        <v>36527.44791666666</v>
      </c>
      <c r="C77" s="3" t="n">
        <v>36527.28125</v>
      </c>
      <c r="D77" s="3" t="n">
        <v>36527.40625</v>
      </c>
    </row>
    <row r="78">
      <c r="A78" s="2" t="inlineStr">
        <is>
          <t>6E 003</t>
        </is>
      </c>
      <c r="B78" s="3" t="n">
        <v>36527.45138888889</v>
      </c>
      <c r="C78" s="3" t="n">
        <v>36527.28472222222</v>
      </c>
      <c r="D78" s="3" t="n">
        <v>36527.40972222222</v>
      </c>
    </row>
    <row r="79">
      <c r="A79" s="2" t="inlineStr">
        <is>
          <t>K9 1602</t>
        </is>
      </c>
      <c r="B79" s="3" t="n">
        <v>36527.45138888889</v>
      </c>
      <c r="C79" s="3" t="n">
        <v>36527.28472222222</v>
      </c>
      <c r="D79" s="3" t="n">
        <v>36527.40972222222</v>
      </c>
    </row>
    <row r="80">
      <c r="A80" s="2" t="inlineStr">
        <is>
          <t>AI 2332</t>
        </is>
      </c>
      <c r="B80" s="3" t="n">
        <v>36527.45486111111</v>
      </c>
      <c r="C80" s="3" t="n">
        <v>36527.28819444445</v>
      </c>
      <c r="D80" s="3" t="n">
        <v>36527.41319444445</v>
      </c>
    </row>
    <row r="81">
      <c r="A81" s="2" t="inlineStr">
        <is>
          <t>EK 511</t>
        </is>
      </c>
      <c r="B81" s="3" t="n">
        <v>36527.45833333334</v>
      </c>
      <c r="C81" s="3" t="n">
        <v>36527.29166666666</v>
      </c>
      <c r="D81" s="3" t="n">
        <v>36527.41666666666</v>
      </c>
    </row>
    <row r="82">
      <c r="A82" s="2" t="inlineStr">
        <is>
          <t>AI 237</t>
        </is>
      </c>
      <c r="B82" s="3" t="n">
        <v>36527.46527777778</v>
      </c>
      <c r="C82" s="3" t="n">
        <v>36527.29861111111</v>
      </c>
      <c r="D82" s="3" t="n">
        <v>36527.42361111111</v>
      </c>
    </row>
    <row r="83">
      <c r="A83" s="2" t="inlineStr">
        <is>
          <t>6E 1153</t>
        </is>
      </c>
      <c r="B83" s="3" t="n">
        <v>36527.46527777778</v>
      </c>
      <c r="C83" s="3" t="n">
        <v>36527.29861111111</v>
      </c>
      <c r="D83" s="3" t="n">
        <v>36527.42361111111</v>
      </c>
    </row>
    <row r="84">
      <c r="A84" s="2" t="inlineStr">
        <is>
          <t>VS 301</t>
        </is>
      </c>
      <c r="B84" s="3" t="n">
        <v>36527.46527777778</v>
      </c>
      <c r="C84" s="3" t="n">
        <v>36527.29861111111</v>
      </c>
      <c r="D84" s="3" t="n">
        <v>36527.42361111111</v>
      </c>
    </row>
    <row r="85">
      <c r="A85" s="2" t="inlineStr">
        <is>
          <t>AI 155</t>
        </is>
      </c>
      <c r="B85" s="3" t="n">
        <v>36527.46875</v>
      </c>
      <c r="C85" s="3" t="n">
        <v>36527.30208333334</v>
      </c>
      <c r="D85" s="3" t="n">
        <v>36527.42708333334</v>
      </c>
    </row>
    <row r="86">
      <c r="A86" s="2" t="inlineStr">
        <is>
          <t>SV 757</t>
        </is>
      </c>
      <c r="B86" s="3" t="n">
        <v>36527.47569444445</v>
      </c>
      <c r="C86" s="3" t="n">
        <v>36527.30902777778</v>
      </c>
      <c r="D86" s="3" t="n">
        <v>36527.43402777778</v>
      </c>
    </row>
    <row r="87">
      <c r="A87" s="2" t="inlineStr">
        <is>
          <t>KC 908</t>
        </is>
      </c>
      <c r="B87" s="3" t="n">
        <v>36527.47569444445</v>
      </c>
      <c r="C87" s="3" t="n">
        <v>36527.30902777778</v>
      </c>
      <c r="D87" s="3" t="n">
        <v>36527.43402777778</v>
      </c>
    </row>
    <row r="88">
      <c r="A88" s="2" t="inlineStr">
        <is>
          <t>VERIFY (87)</t>
        </is>
      </c>
      <c r="B88" s="3" t="n"/>
      <c r="C88" s="3" t="n"/>
      <c r="D88" s="3" t="n"/>
    </row>
    <row r="89">
      <c r="A89" s="2" t="inlineStr">
        <is>
          <t>VERIFY (88)</t>
        </is>
      </c>
      <c r="B89" s="3" t="n"/>
      <c r="C89" s="3" t="n"/>
      <c r="D89" s="3" t="n"/>
    </row>
    <row r="90">
      <c r="A90" s="2" t="inlineStr">
        <is>
          <t>VERIFY (89)</t>
        </is>
      </c>
      <c r="B90" s="3" t="n"/>
      <c r="C90" s="3" t="n"/>
      <c r="D90" s="3" t="n"/>
    </row>
    <row r="91">
      <c r="A91" s="2" t="inlineStr">
        <is>
          <t>VERIFY (90)</t>
        </is>
      </c>
      <c r="B91" s="3" t="n"/>
      <c r="C91" s="3" t="n"/>
      <c r="D91" s="3" t="n"/>
    </row>
    <row r="92">
      <c r="A92" s="2" t="inlineStr">
        <is>
          <t>TG 324</t>
        </is>
      </c>
      <c r="B92" s="3" t="n">
        <v>36527.48611111111</v>
      </c>
      <c r="C92" s="3" t="n">
        <v>36527.31944444445</v>
      </c>
      <c r="D92" s="3" t="n">
        <v>36527.44444444445</v>
      </c>
    </row>
    <row r="93">
      <c r="A93" s="2" t="inlineStr">
        <is>
          <t>MS 974</t>
        </is>
      </c>
      <c r="B93" s="3" t="n">
        <v>36527.5</v>
      </c>
      <c r="C93" s="3" t="n">
        <v>36527.33333333334</v>
      </c>
      <c r="D93" s="3" t="n">
        <v>36527.45833333334</v>
      </c>
    </row>
    <row r="94">
      <c r="A94" s="2" t="inlineStr">
        <is>
          <t>AI 2017</t>
        </is>
      </c>
      <c r="B94" s="3" t="n">
        <v>36527.50347222222</v>
      </c>
      <c r="C94" s="3" t="n">
        <v>36527.33680555555</v>
      </c>
      <c r="D94" s="3" t="n">
        <v>36527.46180555555</v>
      </c>
    </row>
    <row r="95">
      <c r="A95" s="2" t="inlineStr">
        <is>
          <t>C6 558</t>
        </is>
      </c>
      <c r="B95" s="3" t="n">
        <v>36527.50694444445</v>
      </c>
      <c r="C95" s="3" t="n">
        <v>36527.34027777778</v>
      </c>
      <c r="D95" s="3" t="n">
        <v>36527.46527777778</v>
      </c>
    </row>
    <row r="96">
      <c r="A96" s="2" t="inlineStr">
        <is>
          <t>AI 151</t>
        </is>
      </c>
      <c r="B96" s="3" t="n">
        <v>36527.51041666666</v>
      </c>
      <c r="C96" s="3" t="n">
        <v>36527.34375</v>
      </c>
      <c r="D96" s="3" t="n">
        <v>36527.46875</v>
      </c>
    </row>
    <row r="97">
      <c r="A97" s="2" t="inlineStr">
        <is>
          <t>AI 157</t>
        </is>
      </c>
      <c r="B97" s="3" t="n">
        <v>36527.51041666666</v>
      </c>
      <c r="C97" s="3" t="n">
        <v>36527.34375</v>
      </c>
      <c r="D97" s="3" t="n">
        <v>36527.46875</v>
      </c>
    </row>
    <row r="98">
      <c r="A98" s="2" t="inlineStr">
        <is>
          <t>AI 2029</t>
        </is>
      </c>
      <c r="B98" s="3" t="n">
        <v>36527.51388888889</v>
      </c>
      <c r="C98" s="3" t="n">
        <v>36527.34722222222</v>
      </c>
      <c r="D98" s="3" t="n">
        <v>36527.47222222222</v>
      </c>
    </row>
    <row r="99">
      <c r="A99" s="2" t="inlineStr">
        <is>
          <t>AI 2362</t>
        </is>
      </c>
      <c r="B99" s="3" t="n">
        <v>36527.51736111111</v>
      </c>
      <c r="C99" s="3" t="n">
        <v>36527.35069444445</v>
      </c>
      <c r="D99" s="3" t="n">
        <v>36527.47569444445</v>
      </c>
    </row>
    <row r="100">
      <c r="A100" s="2" t="inlineStr">
        <is>
          <t>KB 201</t>
        </is>
      </c>
      <c r="B100" s="3" t="n">
        <v>36527.52083333334</v>
      </c>
      <c r="C100" s="3" t="n">
        <v>36527.35416666666</v>
      </c>
      <c r="D100" s="3" t="n">
        <v>36527.47916666666</v>
      </c>
    </row>
    <row r="101">
      <c r="A101" s="2" t="inlineStr">
        <is>
          <t>6E 1103</t>
        </is>
      </c>
      <c r="B101" s="3" t="n">
        <v>36527.52430555555</v>
      </c>
      <c r="C101" s="3" t="n">
        <v>36527.35763888889</v>
      </c>
      <c r="D101" s="3" t="n">
        <v>36527.48263888889</v>
      </c>
    </row>
    <row r="102">
      <c r="A102" s="2" t="inlineStr">
        <is>
          <t>AI 281</t>
        </is>
      </c>
      <c r="B102" s="3" t="n">
        <v>36527.52777777778</v>
      </c>
      <c r="C102" s="3" t="n">
        <v>36527.36111111111</v>
      </c>
      <c r="D102" s="3" t="n">
        <v>36527.48611111111</v>
      </c>
    </row>
    <row r="103">
      <c r="A103" s="2" t="inlineStr">
        <is>
          <t>AI 137</t>
        </is>
      </c>
      <c r="B103" s="3" t="n">
        <v>36527.53472222222</v>
      </c>
      <c r="C103" s="3" t="n">
        <v>36527.36805555555</v>
      </c>
      <c r="D103" s="3" t="n">
        <v>36527.49305555555</v>
      </c>
    </row>
    <row r="104">
      <c r="A104" s="2" t="inlineStr">
        <is>
          <t>AI 2388</t>
        </is>
      </c>
      <c r="B104" s="3" t="n">
        <v>36527.54861111111</v>
      </c>
      <c r="C104" s="3" t="n">
        <v>36527.38194444445</v>
      </c>
      <c r="D104" s="3" t="n">
        <v>36527.50694444445</v>
      </c>
    </row>
    <row r="105">
      <c r="A105" s="2" t="inlineStr">
        <is>
          <t>AI 2376</t>
        </is>
      </c>
      <c r="B105" s="3" t="n">
        <v>36527.55902777778</v>
      </c>
      <c r="C105" s="3" t="n">
        <v>36527.39236111111</v>
      </c>
      <c r="D105" s="3" t="n">
        <v>36527.51736111111</v>
      </c>
    </row>
    <row r="106">
      <c r="A106" s="2" t="inlineStr">
        <is>
          <t>6E 1155</t>
        </is>
      </c>
      <c r="B106" s="3" t="n">
        <v>36527.56944444445</v>
      </c>
      <c r="C106" s="3" t="n">
        <v>36527.40277777778</v>
      </c>
      <c r="D106" s="3" t="n">
        <v>36527.52777777778</v>
      </c>
    </row>
    <row r="107">
      <c r="A107" s="2" t="inlineStr">
        <is>
          <t>AI 2243</t>
        </is>
      </c>
      <c r="B107" s="3" t="n">
        <v>36527.57291666666</v>
      </c>
      <c r="C107" s="3" t="n">
        <v>36527.40625</v>
      </c>
      <c r="D107" s="3" t="n">
        <v>36527.53125</v>
      </c>
    </row>
    <row r="108">
      <c r="A108" s="2" t="inlineStr">
        <is>
          <t>SQ 405</t>
        </is>
      </c>
      <c r="B108" s="3" t="n">
        <v>36527.59722222222</v>
      </c>
      <c r="C108" s="3" t="n">
        <v>36527.43055555555</v>
      </c>
      <c r="D108" s="3" t="n">
        <v>36527.55555555555</v>
      </c>
    </row>
    <row r="109">
      <c r="A109" s="2" t="inlineStr">
        <is>
          <t>AI 219</t>
        </is>
      </c>
      <c r="B109" s="3" t="n">
        <v>36527.60069444445</v>
      </c>
      <c r="C109" s="3" t="n">
        <v>36527.43402777778</v>
      </c>
      <c r="D109" s="3" t="n">
        <v>36527.55902777778</v>
      </c>
    </row>
    <row r="110">
      <c r="A110" s="2" t="inlineStr">
        <is>
          <t>6E 1807</t>
        </is>
      </c>
      <c r="B110" s="3" t="n">
        <v>36527.60069444445</v>
      </c>
      <c r="C110" s="3" t="n">
        <v>36527.43402777778</v>
      </c>
      <c r="D110" s="3" t="n">
        <v>36527.55902777778</v>
      </c>
    </row>
    <row r="111">
      <c r="A111" s="2" t="inlineStr">
        <is>
          <t>AI 2304</t>
        </is>
      </c>
      <c r="B111" s="3" t="n">
        <v>36527.60416666666</v>
      </c>
      <c r="C111" s="3" t="n">
        <v>36527.4375</v>
      </c>
      <c r="D111" s="3" t="n">
        <v>36527.5625</v>
      </c>
    </row>
    <row r="112">
      <c r="A112" s="2" t="inlineStr">
        <is>
          <t>FG 312</t>
        </is>
      </c>
      <c r="B112" s="3" t="n">
        <v>36527.625</v>
      </c>
      <c r="C112" s="3" t="n">
        <v>36527.45833333334</v>
      </c>
      <c r="D112" s="3" t="n">
        <v>36527.58333333334</v>
      </c>
    </row>
    <row r="113">
      <c r="A113" s="2" t="inlineStr">
        <is>
          <t>RQ 4402</t>
        </is>
      </c>
      <c r="B113" s="3" t="n">
        <v>36527.63194444445</v>
      </c>
      <c r="C113" s="3" t="n">
        <v>36527.46527777778</v>
      </c>
      <c r="D113" s="3" t="n">
        <v>36527.59027777778</v>
      </c>
    </row>
    <row r="114">
      <c r="A114" s="2" t="inlineStr">
        <is>
          <t>AI 4309</t>
        </is>
      </c>
      <c r="B114" s="3" t="n">
        <v>36527.63541666666</v>
      </c>
      <c r="C114" s="3" t="n">
        <v>36527.46875</v>
      </c>
      <c r="D114" s="3" t="n">
        <v>36527.59375</v>
      </c>
    </row>
    <row r="115">
      <c r="A115" s="2" t="inlineStr">
        <is>
          <t>6E 1081</t>
        </is>
      </c>
      <c r="B115" s="3" t="n">
        <v>36527.65277777778</v>
      </c>
      <c r="C115" s="3" t="n">
        <v>36527.48611111111</v>
      </c>
      <c r="D115" s="3" t="n">
        <v>36527.61111111111</v>
      </c>
    </row>
    <row r="116">
      <c r="A116" s="2" t="inlineStr">
        <is>
          <t>6E 1053</t>
        </is>
      </c>
      <c r="B116" s="3" t="n">
        <v>36527.65625</v>
      </c>
      <c r="C116" s="3" t="n">
        <v>36527.48958333334</v>
      </c>
      <c r="D116" s="3" t="n">
        <v>36527.61458333334</v>
      </c>
    </row>
    <row r="117">
      <c r="A117" s="2" t="inlineStr">
        <is>
          <t>EY 215</t>
        </is>
      </c>
      <c r="B117" s="3" t="n">
        <v>36527.66319444445</v>
      </c>
      <c r="C117" s="3" t="n">
        <v>36527.49652777778</v>
      </c>
      <c r="D117" s="3" t="n">
        <v>36527.62152777778</v>
      </c>
    </row>
    <row r="118">
      <c r="A118" s="2" t="inlineStr">
        <is>
          <t>6E 1345</t>
        </is>
      </c>
      <c r="B118" s="3" t="n">
        <v>36527.66319444445</v>
      </c>
      <c r="C118" s="3" t="n">
        <v>36527.49652777778</v>
      </c>
      <c r="D118" s="3" t="n">
        <v>36527.62152777778</v>
      </c>
    </row>
    <row r="119">
      <c r="A119" s="2" t="inlineStr">
        <is>
          <t>WY 246</t>
        </is>
      </c>
      <c r="B119" s="3" t="n">
        <v>36527.66666666666</v>
      </c>
      <c r="C119" s="3" t="n">
        <v>36527.5</v>
      </c>
      <c r="D119" s="3" t="n">
        <v>36527.625</v>
      </c>
    </row>
    <row r="120">
      <c r="A120" s="2" t="inlineStr">
        <is>
          <t>RA 218</t>
        </is>
      </c>
      <c r="B120" s="3" t="n">
        <v>36527.68055555555</v>
      </c>
      <c r="C120" s="3" t="n">
        <v>36527.51388888889</v>
      </c>
      <c r="D120" s="3" t="n">
        <v>36527.63888888889</v>
      </c>
    </row>
    <row r="121">
      <c r="A121" s="2" t="inlineStr">
        <is>
          <t>EK 517</t>
        </is>
      </c>
      <c r="B121" s="3" t="n">
        <v>36527.68402777778</v>
      </c>
      <c r="C121" s="3" t="n">
        <v>36527.51736111111</v>
      </c>
      <c r="D121" s="3" t="n">
        <v>36527.64236111111</v>
      </c>
    </row>
    <row r="122">
      <c r="A122" s="2" t="inlineStr">
        <is>
          <t>IA 444</t>
        </is>
      </c>
      <c r="B122" s="3" t="n">
        <v>36527.6875</v>
      </c>
      <c r="C122" s="3" t="n">
        <v>36527.52083333334</v>
      </c>
      <c r="D122" s="3" t="n">
        <v>36527.64583333334</v>
      </c>
    </row>
    <row r="123">
      <c r="A123" s="2" t="inlineStr">
        <is>
          <t>AI 2255</t>
        </is>
      </c>
      <c r="B123" s="3" t="n">
        <v>36527.72569444445</v>
      </c>
      <c r="C123" s="3" t="n">
        <v>36527.55902777778</v>
      </c>
      <c r="D123" s="3" t="n">
        <v>36527.68402777778</v>
      </c>
    </row>
    <row r="124">
      <c r="A124" s="2" t="inlineStr">
        <is>
          <t>6E 1161</t>
        </is>
      </c>
      <c r="B124" s="3" t="n">
        <v>36527.74305555555</v>
      </c>
      <c r="C124" s="3" t="n">
        <v>36527.57638888889</v>
      </c>
      <c r="D124" s="3" t="n">
        <v>36527.70138888889</v>
      </c>
    </row>
    <row r="125">
      <c r="A125" s="2" t="inlineStr">
        <is>
          <t>B4 443</t>
        </is>
      </c>
      <c r="B125" s="3" t="n">
        <v>36527.74652777778</v>
      </c>
      <c r="C125" s="3" t="n">
        <v>36527.57986111111</v>
      </c>
      <c r="D125" s="3" t="n">
        <v>36527.70486111111</v>
      </c>
    </row>
    <row r="126">
      <c r="A126" s="2" t="inlineStr">
        <is>
          <t>NH 838</t>
        </is>
      </c>
      <c r="B126" s="3" t="n">
        <v>36527.75</v>
      </c>
      <c r="C126" s="3" t="n">
        <v>36527.58333333334</v>
      </c>
      <c r="D126" s="3" t="n">
        <v>36527.70833333334</v>
      </c>
    </row>
    <row r="127">
      <c r="A127" s="2" t="inlineStr">
        <is>
          <t>AI 358</t>
        </is>
      </c>
      <c r="B127" s="3" t="n">
        <v>36527.75694444445</v>
      </c>
      <c r="C127" s="3" t="n">
        <v>36527.59027777778</v>
      </c>
      <c r="D127" s="3" t="n">
        <v>36527.71527777778</v>
      </c>
    </row>
    <row r="128">
      <c r="A128" s="2" t="inlineStr">
        <is>
          <t>IX 163</t>
        </is>
      </c>
      <c r="B128" s="3" t="n">
        <v>36527.76736111111</v>
      </c>
      <c r="C128" s="3" t="n">
        <v>36527.60069444445</v>
      </c>
      <c r="D128" s="3" t="n">
        <v>36527.72569444445</v>
      </c>
    </row>
    <row r="129">
      <c r="A129" s="2" t="inlineStr">
        <is>
          <t>6E 1169</t>
        </is>
      </c>
      <c r="B129" s="3" t="n">
        <v>36527.76736111111</v>
      </c>
      <c r="C129" s="3" t="n">
        <v>36527.60069444445</v>
      </c>
      <c r="D129" s="3" t="n">
        <v>36527.72569444445</v>
      </c>
    </row>
    <row r="130">
      <c r="A130" s="2" t="inlineStr">
        <is>
          <t>G9 466</t>
        </is>
      </c>
      <c r="B130" s="3" t="n">
        <v>36527.77430555555</v>
      </c>
      <c r="C130" s="3" t="n">
        <v>36527.60763888889</v>
      </c>
      <c r="D130" s="3" t="n">
        <v>36527.73263888889</v>
      </c>
    </row>
    <row r="131">
      <c r="A131" s="2" t="inlineStr">
        <is>
          <t>AI 2283</t>
        </is>
      </c>
      <c r="B131" s="3" t="n">
        <v>36527.77777777778</v>
      </c>
      <c r="C131" s="3" t="n">
        <v>36527.61111111111</v>
      </c>
      <c r="D131" s="3" t="n">
        <v>36527.73611111111</v>
      </c>
    </row>
    <row r="132">
      <c r="A132" s="2" t="inlineStr">
        <is>
          <t>UL 196</t>
        </is>
      </c>
      <c r="B132" s="3" t="n">
        <v>36527.78125</v>
      </c>
      <c r="C132" s="3" t="n">
        <v>36527.61458333334</v>
      </c>
      <c r="D132" s="3" t="n">
        <v>36527.73958333334</v>
      </c>
    </row>
    <row r="133">
      <c r="A133" s="2" t="inlineStr">
        <is>
          <t>SG 5105</t>
        </is>
      </c>
      <c r="B133" s="3" t="n">
        <v>36527.78125</v>
      </c>
      <c r="C133" s="3" t="n">
        <v>36527.61458333334</v>
      </c>
      <c r="D133" s="3" t="n">
        <v>36527.73958333334</v>
      </c>
    </row>
    <row r="134">
      <c r="A134" s="2" t="inlineStr">
        <is>
          <t>KE 498</t>
        </is>
      </c>
      <c r="B134" s="3" t="n">
        <v>36527.78472222222</v>
      </c>
      <c r="C134" s="3" t="n">
        <v>36527.61805555555</v>
      </c>
      <c r="D134" s="3" t="n">
        <v>36527.74305555555</v>
      </c>
    </row>
    <row r="135">
      <c r="A135" s="2" t="inlineStr">
        <is>
          <t>JL 030</t>
        </is>
      </c>
      <c r="B135" s="3" t="n">
        <v>36527.79513888889</v>
      </c>
      <c r="C135" s="3" t="n">
        <v>36527.62847222222</v>
      </c>
      <c r="D135" s="3" t="n">
        <v>36527.75347222222</v>
      </c>
    </row>
    <row r="136">
      <c r="A136" s="2" t="inlineStr">
        <is>
          <t>6E 1463</t>
        </is>
      </c>
      <c r="B136" s="3" t="n">
        <v>36527.79861111111</v>
      </c>
      <c r="C136" s="3" t="n">
        <v>36527.63194444445</v>
      </c>
      <c r="D136" s="3" t="n">
        <v>36527.75694444445</v>
      </c>
    </row>
    <row r="137">
      <c r="A137" s="2" t="inlineStr">
        <is>
          <t>SV 9651</t>
        </is>
      </c>
      <c r="B137" s="3" t="n">
        <v>36527.82638888889</v>
      </c>
      <c r="C137" s="3" t="n">
        <v>36527.65972222222</v>
      </c>
      <c r="D137" s="3" t="n">
        <v>36527.78472222222</v>
      </c>
    </row>
    <row r="138">
      <c r="A138" s="2" t="inlineStr">
        <is>
          <t>MU 564</t>
        </is>
      </c>
      <c r="B138" s="3" t="n">
        <v>36527.82986111111</v>
      </c>
      <c r="C138" s="3" t="n">
        <v>36527.66319444445</v>
      </c>
      <c r="D138" s="3" t="n">
        <v>36527.78819444445</v>
      </c>
    </row>
    <row r="139">
      <c r="A139" s="2" t="inlineStr">
        <is>
          <t>6E 063</t>
        </is>
      </c>
      <c r="B139" s="3" t="n">
        <v>36527.84375</v>
      </c>
      <c r="C139" s="3" t="n">
        <v>36527.67708333334</v>
      </c>
      <c r="D139" s="3" t="n">
        <v>36527.80208333334</v>
      </c>
    </row>
    <row r="140">
      <c r="A140" s="2" t="inlineStr">
        <is>
          <t>6E 083</t>
        </is>
      </c>
      <c r="B140" s="3" t="n">
        <v>36527.84722222222</v>
      </c>
      <c r="C140" s="3" t="n">
        <v>36527.68055555555</v>
      </c>
      <c r="D140" s="3" t="n">
        <v>36527.80555555555</v>
      </c>
    </row>
    <row r="141">
      <c r="A141" s="2" t="inlineStr">
        <is>
          <t>AI 2145</t>
        </is>
      </c>
      <c r="B141" s="3" t="n">
        <v>36527.86805555555</v>
      </c>
      <c r="C141" s="3" t="n">
        <v>36527.70138888889</v>
      </c>
      <c r="D141" s="3" t="n">
        <v>36527.82638888889</v>
      </c>
    </row>
    <row r="142">
      <c r="A142" s="2" t="inlineStr">
        <is>
          <t>6E 1083</t>
        </is>
      </c>
      <c r="B142" s="3" t="n">
        <v>36527.87152777778</v>
      </c>
      <c r="C142" s="3" t="n">
        <v>36527.70486111111</v>
      </c>
      <c r="D142" s="3" t="n">
        <v>36527.82986111111</v>
      </c>
    </row>
    <row r="143">
      <c r="A143" s="2" t="inlineStr">
        <is>
          <t>XJ 231</t>
        </is>
      </c>
      <c r="B143" s="3" t="n">
        <v>36527.87152777778</v>
      </c>
      <c r="C143" s="3" t="n">
        <v>36527.70486111111</v>
      </c>
      <c r="D143" s="3" t="n">
        <v>36527.82986111111</v>
      </c>
    </row>
    <row r="144">
      <c r="A144" s="2" t="inlineStr">
        <is>
          <t>6E 1405</t>
        </is>
      </c>
      <c r="B144" s="3" t="n">
        <v>36527.875</v>
      </c>
      <c r="C144" s="3" t="n">
        <v>36527.70833333334</v>
      </c>
      <c r="D144" s="3" t="n">
        <v>36527.83333333334</v>
      </c>
    </row>
    <row r="145">
      <c r="A145" s="2" t="inlineStr">
        <is>
          <t>AI 223</t>
        </is>
      </c>
      <c r="B145" s="3" t="n">
        <v>36527.88541666666</v>
      </c>
      <c r="C145" s="3" t="n">
        <v>36527.71875</v>
      </c>
      <c r="D145" s="3" t="n">
        <v>36527.84375</v>
      </c>
    </row>
    <row r="146">
      <c r="A146" s="2" t="inlineStr">
        <is>
          <t>IX 173</t>
        </is>
      </c>
      <c r="B146" s="3" t="n">
        <v>36527.88888888889</v>
      </c>
      <c r="C146" s="3" t="n">
        <v>36527.72222222222</v>
      </c>
      <c r="D146" s="3" t="n">
        <v>36527.84722222222</v>
      </c>
    </row>
    <row r="147">
      <c r="A147" s="2" t="inlineStr">
        <is>
          <t>6E 1307</t>
        </is>
      </c>
      <c r="B147" s="3" t="n">
        <v>36527.89583333334</v>
      </c>
      <c r="C147" s="3" t="n">
        <v>36527.72916666666</v>
      </c>
      <c r="D147" s="3" t="n">
        <v>36527.85416666666</v>
      </c>
    </row>
    <row r="148">
      <c r="A148" s="2" t="inlineStr">
        <is>
          <t>AI 2386</t>
        </is>
      </c>
      <c r="B148" s="3" t="n">
        <v>36527.90277777778</v>
      </c>
      <c r="C148" s="3" t="n">
        <v>36527.73611111111</v>
      </c>
      <c r="D148" s="3" t="n">
        <v>36527.86111111111</v>
      </c>
    </row>
    <row r="149">
      <c r="A149" s="2" t="inlineStr">
        <is>
          <t>AI 101</t>
        </is>
      </c>
      <c r="B149" s="3" t="n">
        <v>36527.90625</v>
      </c>
      <c r="C149" s="3" t="n">
        <v>36527.73958333334</v>
      </c>
      <c r="D149" s="3" t="n">
        <v>36527.86458333334</v>
      </c>
    </row>
    <row r="150">
      <c r="A150" s="2" t="inlineStr">
        <is>
          <t>GF 135</t>
        </is>
      </c>
      <c r="B150" s="3" t="n">
        <v>36527.90972222222</v>
      </c>
      <c r="C150" s="3" t="n">
        <v>36527.74305555555</v>
      </c>
      <c r="D150" s="3" t="n">
        <v>36527.86805555555</v>
      </c>
    </row>
    <row r="151">
      <c r="A151" s="2" t="inlineStr">
        <is>
          <t>SQ 403</t>
        </is>
      </c>
      <c r="B151" s="3" t="n">
        <v>36527.91319444445</v>
      </c>
      <c r="C151" s="3" t="n">
        <v>36527.74652777778</v>
      </c>
      <c r="D151" s="3" t="n">
        <v>36527.87152777778</v>
      </c>
    </row>
    <row r="152">
      <c r="A152" s="2" t="inlineStr">
        <is>
          <t>6E 063</t>
        </is>
      </c>
      <c r="B152" s="3" t="n">
        <v>36527.91666666666</v>
      </c>
      <c r="C152" s="3" t="n">
        <v>36527.75</v>
      </c>
      <c r="D152" s="3" t="n">
        <v>36527.875</v>
      </c>
    </row>
    <row r="153">
      <c r="A153" s="2" t="inlineStr">
        <is>
          <t>6E 071</t>
        </is>
      </c>
      <c r="B153" s="3" t="n">
        <v>36527.91666666666</v>
      </c>
      <c r="C153" s="3" t="n">
        <v>36527.75</v>
      </c>
      <c r="D153" s="3" t="n">
        <v>36527.875</v>
      </c>
    </row>
    <row r="154">
      <c r="A154" s="2" t="inlineStr">
        <is>
          <t>OD 206</t>
        </is>
      </c>
      <c r="B154" s="3" t="n">
        <v>36527.92013888889</v>
      </c>
      <c r="C154" s="3" t="n">
        <v>36527.75347222222</v>
      </c>
      <c r="D154" s="3" t="n">
        <v>36527.87847222222</v>
      </c>
    </row>
    <row r="155">
      <c r="A155" s="2" t="inlineStr">
        <is>
          <t>EK 515</t>
        </is>
      </c>
      <c r="B155" s="3" t="n">
        <v>36527.92013888889</v>
      </c>
      <c r="C155" s="3" t="n">
        <v>36527.75347222222</v>
      </c>
      <c r="D155" s="3" t="n">
        <v>36527.87847222222</v>
      </c>
    </row>
    <row r="156">
      <c r="A156" s="2" t="inlineStr">
        <is>
          <t>AI 314</t>
        </is>
      </c>
      <c r="B156" s="3" t="n">
        <v>36527.92361111111</v>
      </c>
      <c r="C156" s="3" t="n">
        <v>36527.75694444445</v>
      </c>
      <c r="D156" s="3" t="n">
        <v>36527.88194444445</v>
      </c>
    </row>
    <row r="157">
      <c r="A157" s="2" t="inlineStr">
        <is>
          <t>CX 698</t>
        </is>
      </c>
      <c r="B157" s="3" t="n">
        <v>36527.94791666666</v>
      </c>
      <c r="C157" s="3" t="n">
        <v>36527.78125</v>
      </c>
      <c r="D157" s="3" t="n">
        <v>36527.90625</v>
      </c>
    </row>
    <row r="158">
      <c r="A158" s="2" t="inlineStr">
        <is>
          <t>AC 043</t>
        </is>
      </c>
      <c r="B158" s="3" t="n">
        <v>36527.95138888889</v>
      </c>
      <c r="C158" s="3" t="n">
        <v>36527.78472222222</v>
      </c>
      <c r="D158" s="3" t="n">
        <v>36527.90972222222</v>
      </c>
    </row>
    <row r="159">
      <c r="A159" s="2" t="inlineStr">
        <is>
          <t>CA 948</t>
        </is>
      </c>
      <c r="B159" s="3" t="n">
        <v>36527.95138888889</v>
      </c>
      <c r="C159" s="3" t="n">
        <v>36527.78472222222</v>
      </c>
      <c r="D159" s="3" t="n">
        <v>36527.90972222222</v>
      </c>
    </row>
    <row r="160">
      <c r="A160" s="2" t="inlineStr">
        <is>
          <t>AI 2380</t>
        </is>
      </c>
      <c r="B160" s="3" t="n">
        <v>36527.95833333334</v>
      </c>
      <c r="C160" s="3" t="n">
        <v>36527.79166666666</v>
      </c>
      <c r="D160" s="3" t="n">
        <v>36527.91666666666</v>
      </c>
    </row>
    <row r="161">
      <c r="A161" s="2" t="inlineStr">
        <is>
          <t>MH 191</t>
        </is>
      </c>
      <c r="B161" s="3" t="n">
        <v>36527.95833333334</v>
      </c>
      <c r="C161" s="3" t="n">
        <v>36527.79166666666</v>
      </c>
      <c r="D161" s="3" t="n">
        <v>36527.91666666666</v>
      </c>
    </row>
    <row r="162">
      <c r="A162" s="2" t="inlineStr">
        <is>
          <t>D7 183</t>
        </is>
      </c>
      <c r="B162" s="3" t="n">
        <v>36527.97222222222</v>
      </c>
      <c r="C162" s="3" t="n">
        <v>36527.80555555555</v>
      </c>
      <c r="D162" s="3" t="n">
        <v>36527.93055555555</v>
      </c>
    </row>
    <row r="163">
      <c r="A163" s="2" t="inlineStr">
        <is>
          <t>AA 293</t>
        </is>
      </c>
      <c r="B163" s="3" t="n">
        <v>36527.97916666666</v>
      </c>
      <c r="C163" s="3" t="n">
        <v>36527.8125</v>
      </c>
      <c r="D163" s="3" t="n">
        <v>36527.9375</v>
      </c>
    </row>
    <row r="164">
      <c r="A164" s="2" t="inlineStr">
        <is>
          <t>TG 316</t>
        </is>
      </c>
      <c r="B164" s="3" t="n">
        <v>36527.97916666666</v>
      </c>
      <c r="C164" s="3" t="n">
        <v>36527.8125</v>
      </c>
      <c r="D164" s="3" t="n">
        <v>36527.9375</v>
      </c>
    </row>
    <row r="165">
      <c r="A165" s="2" t="inlineStr">
        <is>
          <t>VN 980</t>
        </is>
      </c>
      <c r="B165" s="3" t="n">
        <v>36527.98263888889</v>
      </c>
      <c r="C165" s="3" t="n">
        <v>36527.81597222222</v>
      </c>
      <c r="D165" s="3" t="n">
        <v>36527.94097222222</v>
      </c>
    </row>
    <row r="166">
      <c r="A166" s="2" t="inlineStr">
        <is>
          <t>UA 083</t>
        </is>
      </c>
      <c r="B166" s="3" t="n">
        <v>36527.98263888889</v>
      </c>
      <c r="C166" s="3" t="n">
        <v>36527.81597222222</v>
      </c>
      <c r="D166" s="3" t="n">
        <v>36527.94097222222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2026-06-16T06:30:48Z</dcterms:created>
  <dcterms:modified xmlns:dcterms="http://purl.org/dc/terms/" xmlns:xsi="http://www.w3.org/2001/XMLSchema-instance" xsi:type="dcterms:W3CDTF">2026-06-16T06:30:48Z</dcterms:modified>
</cp:coreProperties>
</file>